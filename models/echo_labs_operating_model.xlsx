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Guide" sheetId="1" state="visible" r:id="rId1"/>
    <sheet name="Assumptions" sheetId="2" state="visible" r:id="rId2"/>
    <sheet name="P&amp;L" sheetId="3" state="visible" r:id="rId3"/>
    <sheet name="Balance sheet" sheetId="4" state="visible" r:id="rId4"/>
    <sheet name="Cash flow" sheetId="5" state="visible" r:id="rId5"/>
    <sheet name="KPIs" sheetId="6" state="visible" r:id="rId6"/>
    <sheet name="Checks" sheetId="7" state="visible" r:id="rId7"/>
    <sheet name="Annual summary" sheetId="8" state="visible" r:id="rId8"/>
    <sheet name="Sensitiv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%;[Red](0.00%);&quot;–&quot;"/>
    <numFmt numFmtId="165" formatCode="#,##0;[Red](#,##0);&quot;–&quot;"/>
    <numFmt numFmtId="166" formatCode="#,##0.0;[Red](#,##0.0);&quot;–&quot;"/>
    <numFmt numFmtId="167" formatCode="0.0%;[Red](0.0%);&quot;–&quot;"/>
    <numFmt numFmtId="168" formatCode="0.00&quot;x&quot;"/>
  </numFmts>
  <fonts count="13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b val="1"/>
      <color rgb="00000000"/>
      <sz val="11"/>
    </font>
    <font>
      <name val="Calibri"/>
      <i val="1"/>
      <color rgb="006B7280"/>
      <sz val="10"/>
    </font>
    <font>
      <name val="Calibri"/>
      <b val="1"/>
      <color rgb="00000000"/>
      <sz val="10"/>
    </font>
    <font>
      <name val="Calibri"/>
      <b val="1"/>
      <color rgb="000000FF"/>
      <sz val="10"/>
    </font>
    <font>
      <name val="Calibri"/>
      <b val="1"/>
      <color rgb="00FFFFFF"/>
      <sz val="10"/>
    </font>
    <font>
      <name val="Calibri"/>
      <color rgb="006B7280"/>
      <sz val="10"/>
    </font>
    <font>
      <name val="Calibri"/>
      <color rgb="000000FF"/>
      <sz val="10"/>
    </font>
    <font>
      <name val="Calibri"/>
      <color rgb="00000000"/>
      <sz val="10"/>
    </font>
    <font>
      <name val="Calibri"/>
      <color rgb="00008000"/>
      <sz val="10"/>
    </font>
    <font>
      <name val="Calibri"/>
      <b val="1"/>
      <color rgb="00008000"/>
      <sz val="10"/>
    </font>
    <font>
      <name val="Calibri"/>
      <b val="1"/>
      <color rgb="00000000"/>
      <sz val="14"/>
    </font>
  </fonts>
  <fills count="6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1F3A5F"/>
      </patternFill>
    </fill>
    <fill>
      <patternFill patternType="solid">
        <fgColor rgb="00E8EDF3"/>
      </patternFill>
    </fill>
    <fill>
      <patternFill patternType="solid">
        <fgColor rgb="00FFF8E6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2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7" fillId="0" borderId="0" pivotButton="0" quotePrefix="0" xfId="0"/>
    <xf numFmtId="164" fontId="8" fillId="0" borderId="0" pivotButton="0" quotePrefix="0" xfId="0"/>
    <xf numFmtId="164" fontId="4" fillId="0" borderId="0" pivotButton="0" quotePrefix="0" xfId="0"/>
    <xf numFmtId="165" fontId="8" fillId="0" borderId="0" pivotButton="0" quotePrefix="0" xfId="0"/>
    <xf numFmtId="165" fontId="4" fillId="0" borderId="0" pivotButton="0" quotePrefix="0" xfId="0"/>
    <xf numFmtId="166" fontId="8" fillId="0" borderId="0" pivotButton="0" quotePrefix="0" xfId="0"/>
    <xf numFmtId="166" fontId="4" fillId="0" borderId="0" pivotButton="0" quotePrefix="0" xfId="0"/>
    <xf numFmtId="0" fontId="8" fillId="0" borderId="0" pivotButton="0" quotePrefix="0" xfId="0"/>
    <xf numFmtId="165" fontId="11" fillId="0" borderId="0" pivotButton="0" quotePrefix="0" xfId="0"/>
    <xf numFmtId="166" fontId="11" fillId="0" borderId="0" pivotButton="0" quotePrefix="0" xfId="0"/>
    <xf numFmtId="167" fontId="11" fillId="0" borderId="0" pivotButton="0" quotePrefix="0" xfId="0"/>
    <xf numFmtId="0" fontId="11" fillId="0" borderId="0" pivotButton="0" quotePrefix="0" xfId="0"/>
    <xf numFmtId="0" fontId="0" fillId="3" borderId="0" pivotButton="0" quotePrefix="0" xfId="0"/>
    <xf numFmtId="0" fontId="6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4" borderId="0" pivotButton="0" quotePrefix="0" xfId="0"/>
    <xf numFmtId="0" fontId="0" fillId="4" borderId="0" pivotButton="0" quotePrefix="0" xfId="0"/>
    <xf numFmtId="0" fontId="9" fillId="0" borderId="0" applyAlignment="1" pivotButton="0" quotePrefix="0" xfId="0">
      <alignment indent="1"/>
    </xf>
    <xf numFmtId="165" fontId="10" fillId="5" borderId="0" pivotButton="0" quotePrefix="0" xfId="0"/>
    <xf numFmtId="0" fontId="4" fillId="0" borderId="0" applyAlignment="1" pivotButton="0" quotePrefix="0" xfId="0">
      <alignment indent="1"/>
    </xf>
    <xf numFmtId="165" fontId="4" fillId="0" borderId="1" pivotButton="0" quotePrefix="0" xfId="0"/>
    <xf numFmtId="165" fontId="4" fillId="5" borderId="1" pivotButton="0" quotePrefix="0" xfId="0"/>
    <xf numFmtId="0" fontId="9" fillId="0" borderId="0" applyAlignment="1" pivotButton="0" quotePrefix="0" xfId="0">
      <alignment indent="2"/>
    </xf>
    <xf numFmtId="167" fontId="9" fillId="0" borderId="0" pivotButton="0" quotePrefix="0" xfId="0"/>
    <xf numFmtId="167" fontId="9" fillId="5" borderId="0" pivotButton="0" quotePrefix="0" xfId="0"/>
    <xf numFmtId="166" fontId="10" fillId="5" borderId="0" pivotButton="0" quotePrefix="0" xfId="0"/>
    <xf numFmtId="165" fontId="9" fillId="0" borderId="0" pivotButton="0" quotePrefix="0" xfId="0"/>
    <xf numFmtId="165" fontId="9" fillId="5" borderId="0" pivotButton="0" quotePrefix="0" xfId="0"/>
    <xf numFmtId="165" fontId="10" fillId="0" borderId="0" pivotButton="0" quotePrefix="0" xfId="0"/>
    <xf numFmtId="165" fontId="8" fillId="5" borderId="0" pivotButton="0" quotePrefix="0" xfId="0"/>
    <xf numFmtId="166" fontId="9" fillId="0" borderId="0" pivotButton="0" quotePrefix="0" xfId="0"/>
    <xf numFmtId="166" fontId="9" fillId="5" borderId="0" pivotButton="0" quotePrefix="0" xfId="0"/>
    <xf numFmtId="167" fontId="8" fillId="0" borderId="0" pivotButton="0" quotePrefix="0" xfId="0"/>
    <xf numFmtId="167" fontId="10" fillId="5" borderId="0" pivotButton="0" quotePrefix="0" xfId="0"/>
    <xf numFmtId="166" fontId="10" fillId="0" borderId="0" pivotButton="0" quotePrefix="0" xfId="0"/>
    <xf numFmtId="168" fontId="9" fillId="0" borderId="0" pivotButton="0" quotePrefix="0" xfId="0"/>
    <xf numFmtId="168" fontId="9" fillId="5" borderId="0" pivotButton="0" quotePrefix="0" xfId="0"/>
    <xf numFmtId="167" fontId="10" fillId="0" borderId="0" pivotButton="0" quotePrefix="0" xfId="0"/>
    <xf numFmtId="0" fontId="10" fillId="0" borderId="0" pivotButton="0" quotePrefix="0" xfId="0"/>
    <xf numFmtId="0" fontId="10" fillId="5" borderId="0" pivotButton="0" quotePrefix="0" xfId="0"/>
    <xf numFmtId="0" fontId="4" fillId="0" borderId="1" pivotButton="0" quotePrefix="0" xfId="0"/>
    <xf numFmtId="0" fontId="4" fillId="5" borderId="1" pivotButton="0" quotePrefix="0" xfId="0"/>
    <xf numFmtId="0" fontId="9" fillId="0" borderId="0" pivotButton="0" quotePrefix="0" xfId="0"/>
    <xf numFmtId="0" fontId="3" fillId="0" borderId="0" applyAlignment="1" pivotButton="0" quotePrefix="0" xfId="0">
      <alignment wrapText="1"/>
    </xf>
    <xf numFmtId="164" fontId="8" fillId="2" borderId="0" pivotButton="0" quotePrefix="0" xfId="0"/>
    <xf numFmtId="167" fontId="5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D7DA"/>
        </patternFill>
      </fill>
    </dxf>
    <dxf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Echo Labs, Inc. · three-statement operating model</t>
        </is>
      </c>
    </row>
    <row r="2">
      <c r="A2" s="2" t="inlineStr">
        <is>
          <t>Actuals 2025-10 to 2026-09 from the ledger; forecast 2026-10 to 2028-03 by formula.</t>
        </is>
      </c>
    </row>
    <row r="3">
      <c r="A3" s="3" t="inlineStr"/>
    </row>
    <row r="4">
      <c r="A4" s="4" t="inlineStr">
        <is>
          <t>How it links</t>
        </is>
      </c>
    </row>
    <row r="5">
      <c r="A5" s="3" t="inlineStr">
        <is>
          <t>1. Assumptions: pick Base, Upside or Downside in C4. The Live column picks that scenario's drivers with INDEX/MATCH.</t>
        </is>
      </c>
    </row>
    <row r="6">
      <c r="A6" s="3" t="inlineStr">
        <is>
          <t>2. P&amp;L: revenue grows from last month by the growth driver; costs are driver percentages or roll forward with growth and the hiring plan.</t>
        </is>
      </c>
    </row>
    <row r="7">
      <c r="A7" s="3" t="inlineStr">
        <is>
          <t>3. Balance sheet: receivables and payables from DSO and DPO; fixed assets roll forward with capex and depreciation; retained earnings roll forward with P&amp;L net income; cash comes from the cash flow statement.</t>
        </is>
      </c>
    </row>
    <row r="8">
      <c r="A8" s="3" t="inlineStr">
        <is>
          <t>4. Cash flow (indirect): net income + depreciation - change in receivables + change in payables and payroll liabilities, less capex, plus any equity raised. Closing cash feeds the balance sheet.</t>
        </is>
      </c>
    </row>
    <row r="9">
      <c r="A9" s="3" t="inlineStr">
        <is>
          <t>5. KPIs: burn, runway, ARR, CAC payback and margins, all formulas on the statements.</t>
        </is>
      </c>
    </row>
    <row r="10">
      <c r="A10" s="3" t="inlineStr">
        <is>
          <t>6. Checks: the balance sheet balances, cash ties, net income ties to the ledger, retained earnings roll forward: TRUE in every month.</t>
        </is>
      </c>
    </row>
    <row r="11">
      <c r="A11" s="3" t="inlineStr"/>
    </row>
    <row r="12">
      <c r="A12" s="4" t="inlineStr">
        <is>
          <t>Colour code</t>
        </is>
      </c>
    </row>
    <row r="13">
      <c r="A13" s="5" t="inlineStr">
        <is>
          <t>Blue: input (a ledger actual or an assumption you can change).</t>
        </is>
      </c>
    </row>
    <row r="14">
      <c r="A14" s="6" t="inlineStr">
        <is>
          <t>Black: formula on the same sheet.</t>
        </is>
      </c>
    </row>
    <row r="15">
      <c r="A15" s="7" t="inlineStr">
        <is>
          <t>Green: formula linking to another sheet.</t>
        </is>
      </c>
    </row>
    <row r="16">
      <c r="A16" s="3" t="inlineStr">
        <is>
          <t>Shaded columns are forecast months; they contain no typed numbers.</t>
        </is>
      </c>
    </row>
    <row r="17">
      <c r="A17" s="3" t="inlineStr"/>
    </row>
    <row r="18">
      <c r="A18" s="4" t="inlineStr">
        <is>
          <t>Simplifications</t>
        </is>
      </c>
    </row>
    <row r="19">
      <c r="A19" s="3" t="inlineStr">
        <is>
          <t>One cash account and one company (entities consolidated); no debt drawn; no interest income; tax shown at the cash rate (US losses carried forward shelter profits). Edit the drivers or enter an equity raise on the Cash flow sheet to test a plan.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4" customWidth="1" min="1" max="1"/>
    <col width="8" customWidth="1" min="2" max="2"/>
    <col width="12" customWidth="1" min="3" max="3"/>
    <col width="12" customWidth="1" min="4" max="4"/>
    <col width="12" customWidth="1" min="5" max="5"/>
    <col width="15" customWidth="1" min="6" max="6"/>
    <col width="7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8" t="inlineStr">
        <is>
          <t>Echo Labs, Inc.</t>
        </is>
      </c>
    </row>
    <row r="2">
      <c r="A2" s="9" t="inlineStr">
        <is>
          <t>Assumptions</t>
        </is>
      </c>
    </row>
    <row r="3">
      <c r="A3" s="10" t="inlineStr">
        <is>
          <t>Change the scenario in C4: every forecast cell on every sheet recalculates.</t>
        </is>
      </c>
    </row>
    <row r="4">
      <c r="A4" s="11" t="inlineStr">
        <is>
          <t>Scenario</t>
        </is>
      </c>
      <c r="C4" s="12" t="inlineStr">
        <is>
          <t>Base</t>
        </is>
      </c>
    </row>
    <row r="6">
      <c r="A6" s="13" t="inlineStr">
        <is>
          <t>Driver</t>
        </is>
      </c>
      <c r="B6" s="13" t="inlineStr">
        <is>
          <t>Unit</t>
        </is>
      </c>
      <c r="C6" s="13" t="inlineStr">
        <is>
          <t>Base</t>
        </is>
      </c>
      <c r="D6" s="13" t="inlineStr">
        <is>
          <t>Upside</t>
        </is>
      </c>
      <c r="E6" s="13" t="inlineStr">
        <is>
          <t>Downside</t>
        </is>
      </c>
      <c r="F6" s="13" t="inlineStr">
        <is>
          <t>Live (selected)</t>
        </is>
      </c>
      <c r="G6" s="13" t="inlineStr">
        <is>
          <t>Source</t>
        </is>
      </c>
    </row>
    <row r="7">
      <c r="A7" t="inlineStr">
        <is>
          <t>Usage revenue growth per month</t>
        </is>
      </c>
      <c r="B7" s="14" t="inlineStr">
        <is>
          <t>%</t>
        </is>
      </c>
      <c r="C7" s="15" t="n">
        <v>0.0274</v>
      </c>
      <c r="D7" s="15" t="n">
        <v>0.0374</v>
      </c>
      <c r="E7" s="15" t="n">
        <v>-0.0086</v>
      </c>
      <c r="F7" s="16">
        <f>IF(Sensitivity!$C$5="",INDEX(C7:E7,MATCH($C$4,$C$6:$E$6,0)),Sensitivity!$C$5)</f>
        <v/>
      </c>
      <c r="G7" s="10" t="inlineStr">
        <is>
          <t>Base: compound growth over the last 12 months; downside: the last 6 months' slowdown persists, minus 1 point</t>
        </is>
      </c>
    </row>
    <row r="8">
      <c r="A8" t="inlineStr">
        <is>
          <t>Services revenue growth per month</t>
        </is>
      </c>
      <c r="B8" s="14" t="inlineStr">
        <is>
          <t>%</t>
        </is>
      </c>
      <c r="C8" s="15" t="n">
        <v>0</v>
      </c>
      <c r="D8" s="15" t="n">
        <v>0.01</v>
      </c>
      <c r="E8" s="15" t="n">
        <v>-0.02</v>
      </c>
      <c r="F8" s="16">
        <f>INDEX(C8:E8,MATCH($C$4,$C$6:$E$6,0))</f>
        <v/>
      </c>
      <c r="G8" s="10" t="inlineStr">
        <is>
          <t>Project services held flat in the base case</t>
        </is>
      </c>
    </row>
    <row r="9">
      <c r="A9" t="inlineStr">
        <is>
          <t>Refunds and credits, % of usage revenue (negative)</t>
        </is>
      </c>
      <c r="B9" s="14" t="inlineStr">
        <is>
          <t>%</t>
        </is>
      </c>
      <c r="C9" s="15" t="n">
        <v>-0</v>
      </c>
      <c r="D9" s="15" t="n">
        <v>-0</v>
      </c>
      <c r="E9" s="15" t="n">
        <v>-0.0001</v>
      </c>
      <c r="F9" s="16">
        <f>INDEX(C9:E9,MATCH($C$4,$C$6:$E$6,0))</f>
        <v/>
      </c>
      <c r="G9" s="10" t="inlineStr">
        <is>
          <t>Last 12 months</t>
        </is>
      </c>
    </row>
    <row r="10">
      <c r="A10" t="inlineStr">
        <is>
          <t>GPU compute, % of usage revenue</t>
        </is>
      </c>
      <c r="B10" s="14" t="inlineStr">
        <is>
          <t>%</t>
        </is>
      </c>
      <c r="C10" s="15" t="n">
        <v>0.3302</v>
      </c>
      <c r="D10" s="15" t="n">
        <v>0.3102</v>
      </c>
      <c r="E10" s="15" t="n">
        <v>0.3602</v>
      </c>
      <c r="F10" s="16">
        <f>INDEX(C10:E10,MATCH($C$4,$C$6:$E$6,0))</f>
        <v/>
      </c>
      <c r="G10" s="10" t="inlineStr">
        <is>
          <t>Last 3 months; upside = better GPU utilisation</t>
        </is>
      </c>
    </row>
    <row r="11">
      <c r="A11" t="inlineStr">
        <is>
          <t>Other cost of revenue, % of revenue</t>
        </is>
      </c>
      <c r="B11" s="14" t="inlineStr">
        <is>
          <t>%</t>
        </is>
      </c>
      <c r="C11" s="15" t="n">
        <v>0.0152</v>
      </c>
      <c r="D11" s="15" t="n">
        <v>0.0152</v>
      </c>
      <c r="E11" s="15" t="n">
        <v>0.0152</v>
      </c>
      <c r="F11" s="16">
        <f>INDEX(C11:E11,MATCH($C$4,$C$6:$E$6,0))</f>
        <v/>
      </c>
      <c r="G11" s="10" t="inlineStr">
        <is>
          <t>Last 3 months: hosting, payment fees, project costs</t>
        </is>
      </c>
    </row>
    <row r="12">
      <c r="A12" t="inlineStr">
        <is>
          <t>Hiring plan executed</t>
        </is>
      </c>
      <c r="B12" s="14" t="inlineStr">
        <is>
          <t>%</t>
        </is>
      </c>
      <c r="C12" s="15" t="n">
        <v>1</v>
      </c>
      <c r="D12" s="15" t="n">
        <v>1</v>
      </c>
      <c r="E12" s="15" t="n">
        <v>0</v>
      </c>
      <c r="F12" s="16">
        <f>INDEX(C12:E12,MATCH($C$4,$C$6:$E$6,0))</f>
        <v/>
      </c>
      <c r="G12" s="10" t="inlineStr">
        <is>
          <t>Share of the hiring plan (Assumptions, rows below) that is hired; downside = freeze</t>
        </is>
      </c>
    </row>
    <row r="13">
      <c r="A13" t="inlineStr">
        <is>
          <t>Non-payroll opex growth per month</t>
        </is>
      </c>
      <c r="B13" s="14" t="inlineStr">
        <is>
          <t>%</t>
        </is>
      </c>
      <c r="C13" s="15" t="n">
        <v>0.0184</v>
      </c>
      <c r="D13" s="15" t="n">
        <v>0.0234</v>
      </c>
      <c r="E13" s="15" t="n">
        <v>0.0184</v>
      </c>
      <c r="F13" s="16">
        <f>IF(Sensitivity!$C$6="",INDEX(C13:E13,MATCH($C$4,$C$6:$E$6,0)),Sensitivity!$C$6)</f>
        <v/>
      </c>
      <c r="G13" s="10" t="inlineStr">
        <is>
          <t>Base: compound growth over the last 12 months</t>
        </is>
      </c>
    </row>
    <row r="14">
      <c r="A14" t="inlineStr">
        <is>
          <t>Sales and marketing, % of operating expenses</t>
        </is>
      </c>
      <c r="B14" s="14" t="inlineStr">
        <is>
          <t>%</t>
        </is>
      </c>
      <c r="C14" s="15" t="n">
        <v>0.1782</v>
      </c>
      <c r="D14" s="15" t="n">
        <v>0.1782</v>
      </c>
      <c r="E14" s="15" t="n">
        <v>0.1782</v>
      </c>
      <c r="F14" s="16">
        <f>INDEX(C14:E14,MATCH($C$4,$C$6:$E$6,0))</f>
        <v/>
      </c>
      <c r="G14" s="10" t="inlineStr">
        <is>
          <t>Sales department share of opex, last 3 months</t>
        </is>
      </c>
    </row>
    <row r="15">
      <c r="A15" t="inlineStr">
        <is>
          <t>Capital expenditure per month</t>
        </is>
      </c>
      <c r="B15" s="14" t="inlineStr">
        <is>
          <t>USD</t>
        </is>
      </c>
      <c r="C15" s="17" t="n">
        <v>111666.67</v>
      </c>
      <c r="D15" s="17" t="n">
        <v>111666.67</v>
      </c>
      <c r="E15" s="17" t="n">
        <v>55833.33</v>
      </c>
      <c r="F15" s="18">
        <f>INDEX(C15:E15,MATCH($C$4,$C$6:$E$6,0))</f>
        <v/>
      </c>
      <c r="G15" s="10" t="inlineStr">
        <is>
          <t>Average of the last 12 months; downside halves it</t>
        </is>
      </c>
    </row>
    <row r="16">
      <c r="A16" t="inlineStr">
        <is>
          <t>Useful life of new capex (months)</t>
        </is>
      </c>
      <c r="B16" s="14" t="inlineStr">
        <is>
          <t>months</t>
        </is>
      </c>
      <c r="C16" s="19" t="n">
        <v>36</v>
      </c>
      <c r="D16" s="19" t="n">
        <v>36</v>
      </c>
      <c r="E16" s="19" t="n">
        <v>36</v>
      </c>
      <c r="F16" s="20">
        <f>INDEX(C16:E16,MATCH($C$4,$C$6:$E$6,0))</f>
        <v/>
      </c>
      <c r="G16" s="10" t="inlineStr">
        <is>
          <t>Straight line, from the month after purchase</t>
        </is>
      </c>
    </row>
    <row r="17">
      <c r="A17" t="inlineStr">
        <is>
          <t>Days sales outstanding</t>
        </is>
      </c>
      <c r="B17" s="14" t="inlineStr">
        <is>
          <t>days</t>
        </is>
      </c>
      <c r="C17" s="19" t="n">
        <v>56.4</v>
      </c>
      <c r="D17" s="19" t="n">
        <v>51.4</v>
      </c>
      <c r="E17" s="19" t="n">
        <v>66.40000000000001</v>
      </c>
      <c r="F17" s="20">
        <f>INDEX(C17:E17,MATCH($C$4,$C$6:$E$6,0))</f>
        <v/>
      </c>
      <c r="G17" s="10" t="inlineStr">
        <is>
          <t>AR / revenue x 30 at the last close</t>
        </is>
      </c>
    </row>
    <row r="18">
      <c r="A18" t="inlineStr">
        <is>
          <t>Days payable outstanding</t>
        </is>
      </c>
      <c r="B18" s="14" t="inlineStr">
        <is>
          <t>days</t>
        </is>
      </c>
      <c r="C18" s="19" t="n">
        <v>46.5</v>
      </c>
      <c r="D18" s="19" t="n">
        <v>46.5</v>
      </c>
      <c r="E18" s="19" t="n">
        <v>41.5</v>
      </c>
      <c r="F18" s="20">
        <f>INDEX(C18:E18,MATCH($C$4,$C$6:$E$6,0))</f>
        <v/>
      </c>
      <c r="G18" s="10" t="inlineStr">
        <is>
          <t>AP / (cost of revenue + non-payroll opex) x 30</t>
        </is>
      </c>
    </row>
    <row r="19">
      <c r="A19" t="inlineStr">
        <is>
          <t>Payroll liabilities, % of monthly payroll</t>
        </is>
      </c>
      <c r="B19" s="14" t="inlineStr">
        <is>
          <t>%</t>
        </is>
      </c>
      <c r="C19" s="15" t="n">
        <v>0.4679</v>
      </c>
      <c r="D19" s="15" t="n">
        <v>0.4679</v>
      </c>
      <c r="E19" s="15" t="n">
        <v>0.4679</v>
      </c>
      <c r="F19" s="16">
        <f>INDEX(C19:E19,MATCH($C$4,$C$6:$E$6,0))</f>
        <v/>
      </c>
      <c r="G19" s="10" t="inlineStr">
        <is>
          <t>Payroll taxes and benefits payable at the last close</t>
        </is>
      </c>
    </row>
    <row r="20">
      <c r="A20" t="inlineStr">
        <is>
          <t>Cash tax rate on positive pre-tax income</t>
        </is>
      </c>
      <c r="B20" s="14" t="inlineStr">
        <is>
          <t>%</t>
        </is>
      </c>
      <c r="C20" s="15" t="n">
        <v>0</v>
      </c>
      <c r="D20" s="15" t="n">
        <v>0</v>
      </c>
      <c r="E20" s="15" t="n">
        <v>0</v>
      </c>
      <c r="F20" s="16">
        <f>INDEX(C20:E20,MATCH($C$4,$C$6:$E$6,0))</f>
        <v/>
      </c>
      <c r="G20" s="10" t="inlineStr">
        <is>
          <t>US losses carried forward shelter profits in the forecast window (Controller page, ASC 740)</t>
        </is>
      </c>
    </row>
    <row r="21">
      <c r="A21" t="inlineStr">
        <is>
          <t>Minimum cash (treasury policy)</t>
        </is>
      </c>
      <c r="B21" s="14" t="inlineStr">
        <is>
          <t>USD</t>
        </is>
      </c>
      <c r="C21" s="17" t="n">
        <v>3000000</v>
      </c>
      <c r="D21" s="17" t="n">
        <v>3000000</v>
      </c>
      <c r="E21" s="17" t="n">
        <v>3000000</v>
      </c>
      <c r="F21" s="18">
        <f>INDEX(C21:E21,MATCH($C$4,$C$6:$E$6,0))</f>
        <v/>
      </c>
      <c r="G21" s="10" t="inlineStr">
        <is>
          <t>seeds.treasury_policy MIN-CASH</t>
        </is>
      </c>
    </row>
    <row r="22">
      <c r="A22" t="inlineStr">
        <is>
          <t>New customers per month</t>
        </is>
      </c>
      <c r="B22" s="14" t="inlineStr">
        <is>
          <t>count</t>
        </is>
      </c>
      <c r="C22" s="19" t="n">
        <v>3.33</v>
      </c>
      <c r="D22" s="19" t="n">
        <v>5</v>
      </c>
      <c r="E22" s="19" t="n">
        <v>1.67</v>
      </c>
      <c r="F22" s="20">
        <f>INDEX(C22:E22,MATCH($C$4,$C$6:$E$6,0))</f>
        <v/>
      </c>
      <c r="G22" s="10" t="inlineStr">
        <is>
          <t>Last 3 months' average; drives CAC and active customers</t>
        </is>
      </c>
    </row>
    <row r="23">
      <c r="A23" t="inlineStr">
        <is>
          <t>Logo churn per month</t>
        </is>
      </c>
      <c r="B23" s="14" t="inlineStr">
        <is>
          <t>%</t>
        </is>
      </c>
      <c r="C23" s="15" t="n">
        <v>0.0598</v>
      </c>
      <c r="D23" s="15" t="n">
        <v>0.0448</v>
      </c>
      <c r="E23" s="15" t="n">
        <v>0.0747</v>
      </c>
      <c r="F23" s="16">
        <f>INDEX(C23:E23,MATCH($C$4,$C$6:$E$6,0))</f>
        <v/>
      </c>
      <c r="G23" s="10" t="inlineStr">
        <is>
          <t>Last 3 months' average</t>
        </is>
      </c>
    </row>
    <row r="25">
      <c r="A25" s="11" t="inlineStr">
        <is>
          <t>Hiring plan (open and approved roles)</t>
        </is>
      </c>
    </row>
    <row r="26">
      <c r="A26" t="inlineStr">
        <is>
          <t>Month</t>
        </is>
      </c>
      <c r="C26" s="11" t="inlineStr">
        <is>
          <t>2026-10</t>
        </is>
      </c>
      <c r="D26" s="11" t="inlineStr">
        <is>
          <t>2026-11</t>
        </is>
      </c>
      <c r="E26" s="11" t="inlineStr">
        <is>
          <t>2026-12</t>
        </is>
      </c>
      <c r="F26" s="11" t="inlineStr">
        <is>
          <t>2027-01</t>
        </is>
      </c>
      <c r="G26" s="11" t="inlineStr">
        <is>
          <t>2027-02</t>
        </is>
      </c>
      <c r="H26" s="11" t="inlineStr">
        <is>
          <t>2027-03</t>
        </is>
      </c>
      <c r="I26" s="11" t="inlineStr">
        <is>
          <t>2027-04</t>
        </is>
      </c>
      <c r="J26" s="11" t="inlineStr">
        <is>
          <t>2027-05</t>
        </is>
      </c>
      <c r="K26" s="11" t="inlineStr">
        <is>
          <t>2027-06</t>
        </is>
      </c>
      <c r="L26" s="11" t="inlineStr">
        <is>
          <t>2027-07</t>
        </is>
      </c>
      <c r="M26" s="11" t="inlineStr">
        <is>
          <t>2027-08</t>
        </is>
      </c>
      <c r="N26" s="11" t="inlineStr">
        <is>
          <t>2027-09</t>
        </is>
      </c>
      <c r="O26" s="11" t="inlineStr">
        <is>
          <t>2027-10</t>
        </is>
      </c>
      <c r="P26" s="11" t="inlineStr">
        <is>
          <t>2027-11</t>
        </is>
      </c>
      <c r="Q26" s="11" t="inlineStr">
        <is>
          <t>2027-12</t>
        </is>
      </c>
      <c r="R26" s="11" t="inlineStr">
        <is>
          <t>2028-01</t>
        </is>
      </c>
      <c r="S26" s="11" t="inlineStr">
        <is>
          <t>2028-02</t>
        </is>
      </c>
      <c r="T26" s="11" t="inlineStr">
        <is>
          <t>2028-03</t>
        </is>
      </c>
    </row>
    <row r="27">
      <c r="A27" t="inlineStr">
        <is>
          <t>New hires</t>
        </is>
      </c>
      <c r="C27" s="21" t="n">
        <v>0</v>
      </c>
      <c r="D27" s="21" t="n">
        <v>3</v>
      </c>
      <c r="E27" s="21" t="n">
        <v>1</v>
      </c>
      <c r="F27" s="21" t="n">
        <v>2</v>
      </c>
      <c r="G27" s="21" t="n">
        <v>1</v>
      </c>
      <c r="H27" s="21" t="n">
        <v>1</v>
      </c>
      <c r="I27" s="21" t="n">
        <v>1</v>
      </c>
      <c r="J27" s="21" t="n">
        <v>1</v>
      </c>
      <c r="K27" s="21" t="n">
        <v>1</v>
      </c>
      <c r="L27" s="21" t="n">
        <v>0</v>
      </c>
      <c r="M27" s="21" t="n">
        <v>0</v>
      </c>
      <c r="N27" s="21" t="n">
        <v>0</v>
      </c>
      <c r="O27" s="21" t="n">
        <v>0</v>
      </c>
      <c r="P27" s="21" t="n">
        <v>0</v>
      </c>
      <c r="Q27" s="21" t="n">
        <v>0</v>
      </c>
      <c r="R27" s="21" t="n">
        <v>0</v>
      </c>
      <c r="S27" s="21" t="n">
        <v>0</v>
      </c>
      <c r="T27" s="21" t="n">
        <v>0</v>
      </c>
    </row>
    <row r="28">
      <c r="A28" t="inlineStr">
        <is>
          <t>Monthly loaded cost added (salary + 7.65% payroll tax + $950 benefits)</t>
        </is>
      </c>
      <c r="C28" s="17" t="n">
        <v>0</v>
      </c>
      <c r="D28" s="17" t="n">
        <v>55777.92</v>
      </c>
      <c r="E28" s="17" t="n">
        <v>18443.12</v>
      </c>
      <c r="F28" s="17" t="n">
        <v>30158.12</v>
      </c>
      <c r="G28" s="17" t="n">
        <v>18443.12</v>
      </c>
      <c r="H28" s="17" t="n">
        <v>21134.38</v>
      </c>
      <c r="I28" s="17" t="n">
        <v>16200.42</v>
      </c>
      <c r="J28" s="17" t="n">
        <v>17546.04</v>
      </c>
      <c r="K28" s="17" t="n">
        <v>23377.08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</row>
    <row r="30">
      <c r="A30" s="11" t="inlineStr">
        <is>
          <t>Outputs for the selected scenario</t>
        </is>
      </c>
    </row>
    <row r="31">
      <c r="A31" t="inlineStr">
        <is>
          <t>Revenue, last forecast month</t>
        </is>
      </c>
      <c r="C31" s="22">
        <f>'P&amp;L'!AG11</f>
        <v/>
      </c>
    </row>
    <row r="32">
      <c r="A32" t="inlineStr">
        <is>
          <t>Lowest month-end cash in the forecast</t>
        </is>
      </c>
      <c r="C32" s="22">
        <f>MIN('Balance sheet'!P8:AG8)</f>
        <v/>
      </c>
    </row>
    <row r="33">
      <c r="A33" t="inlineStr">
        <is>
          <t>Cash at the end of the forecast</t>
        </is>
      </c>
      <c r="C33" s="22">
        <f>'Balance sheet'!AG8</f>
        <v/>
      </c>
    </row>
    <row r="34">
      <c r="A34" t="inlineStr">
        <is>
          <t>Runway at the end of the forecast (months)</t>
        </is>
      </c>
      <c r="C34" s="23">
        <f>KPIs!AG11</f>
        <v/>
      </c>
    </row>
    <row r="35">
      <c r="A35" t="inlineStr">
        <is>
          <t>CAC payback at the end of the forecast (months)</t>
        </is>
      </c>
      <c r="C35" s="23">
        <f>KPIs!AG21</f>
        <v/>
      </c>
    </row>
    <row r="36">
      <c r="A36" t="inlineStr">
        <is>
          <t>EBITDA margin, last forecast month</t>
        </is>
      </c>
      <c r="C36" s="24">
        <f>KPIs!AG26</f>
        <v/>
      </c>
    </row>
    <row r="37">
      <c r="A37" t="inlineStr">
        <is>
          <t>CAC payback, last actual month (months)</t>
        </is>
      </c>
      <c r="C37" s="23">
        <f>KPIs!O21</f>
        <v/>
      </c>
    </row>
    <row r="38">
      <c r="A38" t="inlineStr">
        <is>
          <t>Model checks</t>
        </is>
      </c>
      <c r="C38" s="25">
        <f>Checks!C16</f>
        <v/>
      </c>
    </row>
  </sheetData>
  <dataValidations count="1">
    <dataValidation sqref="C4" showDropDown="0" showInputMessage="0" showErrorMessage="0" allowBlank="0" type="list">
      <formula1>"Base,Upside,Downside"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0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>
      <c r="A1" s="8" t="inlineStr">
        <is>
          <t>Echo Labs, Inc.</t>
        </is>
      </c>
    </row>
    <row r="2">
      <c r="A2" s="9" t="inlineStr">
        <is>
          <t>P&amp;L</t>
        </is>
      </c>
    </row>
    <row r="3">
      <c r="A3" s="10" t="inlineStr">
        <is>
          <t>Monthly income statement · actuals from the ledger (blue), forecast by formula (shaded) · USD</t>
        </is>
      </c>
    </row>
    <row r="5">
      <c r="A5" s="13" t="inlineStr">
        <is>
          <t>USD</t>
        </is>
      </c>
      <c r="B5" s="26" t="n"/>
      <c r="C5" s="27" t="inlineStr">
        <is>
          <t>2025-09</t>
        </is>
      </c>
      <c r="D5" s="27" t="inlineStr">
        <is>
          <t>2025-10</t>
        </is>
      </c>
      <c r="E5" s="27" t="inlineStr">
        <is>
          <t>2025-11</t>
        </is>
      </c>
      <c r="F5" s="27" t="inlineStr">
        <is>
          <t>2025-12</t>
        </is>
      </c>
      <c r="G5" s="27" t="inlineStr">
        <is>
          <t>2026-01</t>
        </is>
      </c>
      <c r="H5" s="27" t="inlineStr">
        <is>
          <t>2026-02</t>
        </is>
      </c>
      <c r="I5" s="27" t="inlineStr">
        <is>
          <t>2026-03</t>
        </is>
      </c>
      <c r="J5" s="27" t="inlineStr">
        <is>
          <t>2026-04</t>
        </is>
      </c>
      <c r="K5" s="27" t="inlineStr">
        <is>
          <t>2026-05</t>
        </is>
      </c>
      <c r="L5" s="27" t="inlineStr">
        <is>
          <t>2026-06</t>
        </is>
      </c>
      <c r="M5" s="27" t="inlineStr">
        <is>
          <t>2026-07</t>
        </is>
      </c>
      <c r="N5" s="27" t="inlineStr">
        <is>
          <t>2026-08</t>
        </is>
      </c>
      <c r="O5" s="27" t="inlineStr">
        <is>
          <t>2026-09</t>
        </is>
      </c>
      <c r="P5" s="27" t="inlineStr">
        <is>
          <t>2026-10</t>
        </is>
      </c>
      <c r="Q5" s="27" t="inlineStr">
        <is>
          <t>2026-11</t>
        </is>
      </c>
      <c r="R5" s="27" t="inlineStr">
        <is>
          <t>2026-12</t>
        </is>
      </c>
      <c r="S5" s="27" t="inlineStr">
        <is>
          <t>2027-01</t>
        </is>
      </c>
      <c r="T5" s="27" t="inlineStr">
        <is>
          <t>2027-02</t>
        </is>
      </c>
      <c r="U5" s="27" t="inlineStr">
        <is>
          <t>2027-03</t>
        </is>
      </c>
      <c r="V5" s="27" t="inlineStr">
        <is>
          <t>2027-04</t>
        </is>
      </c>
      <c r="W5" s="27" t="inlineStr">
        <is>
          <t>2027-05</t>
        </is>
      </c>
      <c r="X5" s="27" t="inlineStr">
        <is>
          <t>2027-06</t>
        </is>
      </c>
      <c r="Y5" s="27" t="inlineStr">
        <is>
          <t>2027-07</t>
        </is>
      </c>
      <c r="Z5" s="27" t="inlineStr">
        <is>
          <t>2027-08</t>
        </is>
      </c>
      <c r="AA5" s="27" t="inlineStr">
        <is>
          <t>2027-09</t>
        </is>
      </c>
      <c r="AB5" s="27" t="inlineStr">
        <is>
          <t>2027-10</t>
        </is>
      </c>
      <c r="AC5" s="27" t="inlineStr">
        <is>
          <t>2027-11</t>
        </is>
      </c>
      <c r="AD5" s="27" t="inlineStr">
        <is>
          <t>2027-12</t>
        </is>
      </c>
      <c r="AE5" s="27" t="inlineStr">
        <is>
          <t>2028-01</t>
        </is>
      </c>
      <c r="AF5" s="27" t="inlineStr">
        <is>
          <t>2028-02</t>
        </is>
      </c>
      <c r="AG5" s="27" t="inlineStr">
        <is>
          <t>2028-03</t>
        </is>
      </c>
    </row>
    <row r="6">
      <c r="C6" s="28" t="inlineStr">
        <is>
          <t>Opening</t>
        </is>
      </c>
      <c r="D6" s="28" t="inlineStr">
        <is>
          <t>Actual</t>
        </is>
      </c>
      <c r="E6" s="28" t="inlineStr">
        <is>
          <t>Actual</t>
        </is>
      </c>
      <c r="F6" s="28" t="inlineStr">
        <is>
          <t>Actual</t>
        </is>
      </c>
      <c r="G6" s="28" t="inlineStr">
        <is>
          <t>Actual</t>
        </is>
      </c>
      <c r="H6" s="28" t="inlineStr">
        <is>
          <t>Actual</t>
        </is>
      </c>
      <c r="I6" s="28" t="inlineStr">
        <is>
          <t>Actual</t>
        </is>
      </c>
      <c r="J6" s="28" t="inlineStr">
        <is>
          <t>Actual</t>
        </is>
      </c>
      <c r="K6" s="28" t="inlineStr">
        <is>
          <t>Actual</t>
        </is>
      </c>
      <c r="L6" s="28" t="inlineStr">
        <is>
          <t>Actual</t>
        </is>
      </c>
      <c r="M6" s="28" t="inlineStr">
        <is>
          <t>Actual</t>
        </is>
      </c>
      <c r="N6" s="28" t="inlineStr">
        <is>
          <t>Actual</t>
        </is>
      </c>
      <c r="O6" s="28" t="inlineStr">
        <is>
          <t>Actual</t>
        </is>
      </c>
      <c r="P6" s="28" t="inlineStr">
        <is>
          <t>Forecast</t>
        </is>
      </c>
      <c r="Q6" s="28" t="inlineStr">
        <is>
          <t>Forecast</t>
        </is>
      </c>
      <c r="R6" s="28" t="inlineStr">
        <is>
          <t>Forecast</t>
        </is>
      </c>
      <c r="S6" s="28" t="inlineStr">
        <is>
          <t>Forecast</t>
        </is>
      </c>
      <c r="T6" s="28" t="inlineStr">
        <is>
          <t>Forecast</t>
        </is>
      </c>
      <c r="U6" s="28" t="inlineStr">
        <is>
          <t>Forecast</t>
        </is>
      </c>
      <c r="V6" s="28" t="inlineStr">
        <is>
          <t>Forecast</t>
        </is>
      </c>
      <c r="W6" s="28" t="inlineStr">
        <is>
          <t>Forecast</t>
        </is>
      </c>
      <c r="X6" s="28" t="inlineStr">
        <is>
          <t>Forecast</t>
        </is>
      </c>
      <c r="Y6" s="28" t="inlineStr">
        <is>
          <t>Forecast</t>
        </is>
      </c>
      <c r="Z6" s="28" t="inlineStr">
        <is>
          <t>Forecast</t>
        </is>
      </c>
      <c r="AA6" s="28" t="inlineStr">
        <is>
          <t>Forecast</t>
        </is>
      </c>
      <c r="AB6" s="28" t="inlineStr">
        <is>
          <t>Forecast</t>
        </is>
      </c>
      <c r="AC6" s="28" t="inlineStr">
        <is>
          <t>Forecast</t>
        </is>
      </c>
      <c r="AD6" s="28" t="inlineStr">
        <is>
          <t>Forecast</t>
        </is>
      </c>
      <c r="AE6" s="28" t="inlineStr">
        <is>
          <t>Forecast</t>
        </is>
      </c>
      <c r="AF6" s="28" t="inlineStr">
        <is>
          <t>Forecast</t>
        </is>
      </c>
      <c r="AG6" s="28" t="inlineStr">
        <is>
          <t>Forecast</t>
        </is>
      </c>
    </row>
    <row r="7">
      <c r="A7" s="29" t="inlineStr">
        <is>
          <t>Revenue</t>
        </is>
      </c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</row>
    <row r="8">
      <c r="A8" s="31" t="inlineStr">
        <is>
          <t>Usage revenue</t>
        </is>
      </c>
      <c r="B8" s="14" t="inlineStr"/>
      <c r="D8" s="17" t="n">
        <v>1171861.68</v>
      </c>
      <c r="E8" s="17" t="n">
        <v>1141548.2</v>
      </c>
      <c r="F8" s="17" t="n">
        <v>1115856.8</v>
      </c>
      <c r="G8" s="17" t="n">
        <v>1321919.93</v>
      </c>
      <c r="H8" s="17" t="n">
        <v>1250586.41</v>
      </c>
      <c r="I8" s="17" t="n">
        <v>1409590.94</v>
      </c>
      <c r="J8" s="17" t="n">
        <v>1343844.24</v>
      </c>
      <c r="K8" s="17" t="n">
        <v>1341265.98</v>
      </c>
      <c r="L8" s="17" t="n">
        <v>1326714.35</v>
      </c>
      <c r="M8" s="17" t="n">
        <v>1331194.65</v>
      </c>
      <c r="N8" s="17" t="n">
        <v>1323519.36</v>
      </c>
      <c r="O8" s="17" t="n">
        <v>1421467.83</v>
      </c>
      <c r="P8" s="32">
        <f>O8*(1+Assumptions!$F$7)</f>
        <v/>
      </c>
      <c r="Q8" s="32">
        <f>P8*(1+Assumptions!$F$7)</f>
        <v/>
      </c>
      <c r="R8" s="32">
        <f>Q8*(1+Assumptions!$F$7)</f>
        <v/>
      </c>
      <c r="S8" s="32">
        <f>R8*(1+Assumptions!$F$7)</f>
        <v/>
      </c>
      <c r="T8" s="32">
        <f>S8*(1+Assumptions!$F$7)</f>
        <v/>
      </c>
      <c r="U8" s="32">
        <f>T8*(1+Assumptions!$F$7)</f>
        <v/>
      </c>
      <c r="V8" s="32">
        <f>U8*(1+Assumptions!$F$7)</f>
        <v/>
      </c>
      <c r="W8" s="32">
        <f>V8*(1+Assumptions!$F$7)</f>
        <v/>
      </c>
      <c r="X8" s="32">
        <f>W8*(1+Assumptions!$F$7)</f>
        <v/>
      </c>
      <c r="Y8" s="32">
        <f>X8*(1+Assumptions!$F$7)</f>
        <v/>
      </c>
      <c r="Z8" s="32">
        <f>Y8*(1+Assumptions!$F$7)</f>
        <v/>
      </c>
      <c r="AA8" s="32">
        <f>Z8*(1+Assumptions!$F$7)</f>
        <v/>
      </c>
      <c r="AB8" s="32">
        <f>AA8*(1+Assumptions!$F$7)</f>
        <v/>
      </c>
      <c r="AC8" s="32">
        <f>AB8*(1+Assumptions!$F$7)</f>
        <v/>
      </c>
      <c r="AD8" s="32">
        <f>AC8*(1+Assumptions!$F$7)</f>
        <v/>
      </c>
      <c r="AE8" s="32">
        <f>AD8*(1+Assumptions!$F$7)</f>
        <v/>
      </c>
      <c r="AF8" s="32">
        <f>AE8*(1+Assumptions!$F$7)</f>
        <v/>
      </c>
      <c r="AG8" s="32">
        <f>AF8*(1+Assumptions!$F$7)</f>
        <v/>
      </c>
    </row>
    <row r="9">
      <c r="A9" s="31" t="inlineStr">
        <is>
          <t>Refunds and credits</t>
        </is>
      </c>
      <c r="B9" s="14" t="inlineStr"/>
      <c r="D9" s="17" t="n">
        <v>0</v>
      </c>
      <c r="E9" s="17" t="n">
        <v>0</v>
      </c>
      <c r="F9" s="17" t="n">
        <v>-52.5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-204.77</v>
      </c>
      <c r="N9" s="17" t="n">
        <v>-107.9</v>
      </c>
      <c r="O9" s="17" t="n">
        <v>-303.33</v>
      </c>
      <c r="P9" s="32">
        <f>P8*Assumptions!$F$9</f>
        <v/>
      </c>
      <c r="Q9" s="32">
        <f>Q8*Assumptions!$F$9</f>
        <v/>
      </c>
      <c r="R9" s="32">
        <f>R8*Assumptions!$F$9</f>
        <v/>
      </c>
      <c r="S9" s="32">
        <f>S8*Assumptions!$F$9</f>
        <v/>
      </c>
      <c r="T9" s="32">
        <f>T8*Assumptions!$F$9</f>
        <v/>
      </c>
      <c r="U9" s="32">
        <f>U8*Assumptions!$F$9</f>
        <v/>
      </c>
      <c r="V9" s="32">
        <f>V8*Assumptions!$F$9</f>
        <v/>
      </c>
      <c r="W9" s="32">
        <f>W8*Assumptions!$F$9</f>
        <v/>
      </c>
      <c r="X9" s="32">
        <f>X8*Assumptions!$F$9</f>
        <v/>
      </c>
      <c r="Y9" s="32">
        <f>Y8*Assumptions!$F$9</f>
        <v/>
      </c>
      <c r="Z9" s="32">
        <f>Z8*Assumptions!$F$9</f>
        <v/>
      </c>
      <c r="AA9" s="32">
        <f>AA8*Assumptions!$F$9</f>
        <v/>
      </c>
      <c r="AB9" s="32">
        <f>AB8*Assumptions!$F$9</f>
        <v/>
      </c>
      <c r="AC9" s="32">
        <f>AC8*Assumptions!$F$9</f>
        <v/>
      </c>
      <c r="AD9" s="32">
        <f>AD8*Assumptions!$F$9</f>
        <v/>
      </c>
      <c r="AE9" s="32">
        <f>AE8*Assumptions!$F$9</f>
        <v/>
      </c>
      <c r="AF9" s="32">
        <f>AF8*Assumptions!$F$9</f>
        <v/>
      </c>
      <c r="AG9" s="32">
        <f>AG8*Assumptions!$F$9</f>
        <v/>
      </c>
    </row>
    <row r="10">
      <c r="A10" s="31" t="inlineStr">
        <is>
          <t>Services revenue</t>
        </is>
      </c>
      <c r="B10" s="14" t="inlineStr"/>
      <c r="D10" s="17" t="n">
        <v>28628.07</v>
      </c>
      <c r="E10" s="17" t="n">
        <v>63288.07</v>
      </c>
      <c r="F10" s="17" t="n">
        <v>55518.07</v>
      </c>
      <c r="G10" s="17" t="n">
        <v>29488.07</v>
      </c>
      <c r="H10" s="17" t="n">
        <v>21677.65</v>
      </c>
      <c r="I10" s="17" t="n">
        <v>22331.4</v>
      </c>
      <c r="J10" s="17" t="n">
        <v>59871.4</v>
      </c>
      <c r="K10" s="17" t="n">
        <v>21421.4</v>
      </c>
      <c r="L10" s="17" t="n">
        <v>23396.4</v>
      </c>
      <c r="M10" s="17" t="n">
        <v>22996.4</v>
      </c>
      <c r="N10" s="17" t="n">
        <v>21740.15</v>
      </c>
      <c r="O10" s="17" t="n">
        <v>22911.4</v>
      </c>
      <c r="P10" s="32">
        <f>O10*(1+Assumptions!$F$8)</f>
        <v/>
      </c>
      <c r="Q10" s="32">
        <f>P10*(1+Assumptions!$F$8)</f>
        <v/>
      </c>
      <c r="R10" s="32">
        <f>Q10*(1+Assumptions!$F$8)</f>
        <v/>
      </c>
      <c r="S10" s="32">
        <f>R10*(1+Assumptions!$F$8)</f>
        <v/>
      </c>
      <c r="T10" s="32">
        <f>S10*(1+Assumptions!$F$8)</f>
        <v/>
      </c>
      <c r="U10" s="32">
        <f>T10*(1+Assumptions!$F$8)</f>
        <v/>
      </c>
      <c r="V10" s="32">
        <f>U10*(1+Assumptions!$F$8)</f>
        <v/>
      </c>
      <c r="W10" s="32">
        <f>V10*(1+Assumptions!$F$8)</f>
        <v/>
      </c>
      <c r="X10" s="32">
        <f>W10*(1+Assumptions!$F$8)</f>
        <v/>
      </c>
      <c r="Y10" s="32">
        <f>X10*(1+Assumptions!$F$8)</f>
        <v/>
      </c>
      <c r="Z10" s="32">
        <f>Y10*(1+Assumptions!$F$8)</f>
        <v/>
      </c>
      <c r="AA10" s="32">
        <f>Z10*(1+Assumptions!$F$8)</f>
        <v/>
      </c>
      <c r="AB10" s="32">
        <f>AA10*(1+Assumptions!$F$8)</f>
        <v/>
      </c>
      <c r="AC10" s="32">
        <f>AB10*(1+Assumptions!$F$8)</f>
        <v/>
      </c>
      <c r="AD10" s="32">
        <f>AC10*(1+Assumptions!$F$8)</f>
        <v/>
      </c>
      <c r="AE10" s="32">
        <f>AD10*(1+Assumptions!$F$8)</f>
        <v/>
      </c>
      <c r="AF10" s="32">
        <f>AE10*(1+Assumptions!$F$8)</f>
        <v/>
      </c>
      <c r="AG10" s="32">
        <f>AF10*(1+Assumptions!$F$8)</f>
        <v/>
      </c>
    </row>
    <row r="11">
      <c r="A11" s="33" t="inlineStr">
        <is>
          <t>Total revenue</t>
        </is>
      </c>
      <c r="B11" s="14" t="inlineStr"/>
      <c r="D11" s="34">
        <f>SUM(D8:D10)</f>
        <v/>
      </c>
      <c r="E11" s="34">
        <f>SUM(E8:E10)</f>
        <v/>
      </c>
      <c r="F11" s="34">
        <f>SUM(F8:F10)</f>
        <v/>
      </c>
      <c r="G11" s="34">
        <f>SUM(G8:G10)</f>
        <v/>
      </c>
      <c r="H11" s="34">
        <f>SUM(H8:H10)</f>
        <v/>
      </c>
      <c r="I11" s="34">
        <f>SUM(I8:I10)</f>
        <v/>
      </c>
      <c r="J11" s="34">
        <f>SUM(J8:J10)</f>
        <v/>
      </c>
      <c r="K11" s="34">
        <f>SUM(K8:K10)</f>
        <v/>
      </c>
      <c r="L11" s="34">
        <f>SUM(L8:L10)</f>
        <v/>
      </c>
      <c r="M11" s="34">
        <f>SUM(M8:M10)</f>
        <v/>
      </c>
      <c r="N11" s="34">
        <f>SUM(N8:N10)</f>
        <v/>
      </c>
      <c r="O11" s="34">
        <f>SUM(O8:O10)</f>
        <v/>
      </c>
      <c r="P11" s="35">
        <f>SUM(P8:P10)</f>
        <v/>
      </c>
      <c r="Q11" s="35">
        <f>SUM(Q8:Q10)</f>
        <v/>
      </c>
      <c r="R11" s="35">
        <f>SUM(R8:R10)</f>
        <v/>
      </c>
      <c r="S11" s="35">
        <f>SUM(S8:S10)</f>
        <v/>
      </c>
      <c r="T11" s="35">
        <f>SUM(T8:T10)</f>
        <v/>
      </c>
      <c r="U11" s="35">
        <f>SUM(U8:U10)</f>
        <v/>
      </c>
      <c r="V11" s="35">
        <f>SUM(V8:V10)</f>
        <v/>
      </c>
      <c r="W11" s="35">
        <f>SUM(W8:W10)</f>
        <v/>
      </c>
      <c r="X11" s="35">
        <f>SUM(X8:X10)</f>
        <v/>
      </c>
      <c r="Y11" s="35">
        <f>SUM(Y8:Y10)</f>
        <v/>
      </c>
      <c r="Z11" s="35">
        <f>SUM(Z8:Z10)</f>
        <v/>
      </c>
      <c r="AA11" s="35">
        <f>SUM(AA8:AA10)</f>
        <v/>
      </c>
      <c r="AB11" s="35">
        <f>SUM(AB8:AB10)</f>
        <v/>
      </c>
      <c r="AC11" s="35">
        <f>SUM(AC8:AC10)</f>
        <v/>
      </c>
      <c r="AD11" s="35">
        <f>SUM(AD8:AD10)</f>
        <v/>
      </c>
      <c r="AE11" s="35">
        <f>SUM(AE8:AE10)</f>
        <v/>
      </c>
      <c r="AF11" s="35">
        <f>SUM(AF8:AF10)</f>
        <v/>
      </c>
      <c r="AG11" s="35">
        <f>SUM(AG8:AG10)</f>
        <v/>
      </c>
    </row>
    <row r="12">
      <c r="A12" s="29" t="inlineStr">
        <is>
          <t>Cost of revenue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</row>
    <row r="13">
      <c r="A13" s="31" t="inlineStr">
        <is>
          <t>GPU compute</t>
        </is>
      </c>
      <c r="B13" s="14" t="inlineStr"/>
      <c r="D13" s="17" t="n">
        <v>302715.03</v>
      </c>
      <c r="E13" s="17" t="n">
        <v>295776.5</v>
      </c>
      <c r="F13" s="17" t="n">
        <v>287669.92</v>
      </c>
      <c r="G13" s="17" t="n">
        <v>433707.33</v>
      </c>
      <c r="H13" s="17" t="n">
        <v>408783.44</v>
      </c>
      <c r="I13" s="17" t="n">
        <v>457468.28</v>
      </c>
      <c r="J13" s="17" t="n">
        <v>436582.81</v>
      </c>
      <c r="K13" s="17" t="n">
        <v>440700.91</v>
      </c>
      <c r="L13" s="17" t="n">
        <v>434339.62</v>
      </c>
      <c r="M13" s="17" t="n">
        <v>439950.93</v>
      </c>
      <c r="N13" s="17" t="n">
        <v>436752.89</v>
      </c>
      <c r="O13" s="17" t="n">
        <v>469357.43</v>
      </c>
      <c r="P13" s="32">
        <f>P8*Assumptions!$F$10</f>
        <v/>
      </c>
      <c r="Q13" s="32">
        <f>Q8*Assumptions!$F$10</f>
        <v/>
      </c>
      <c r="R13" s="32">
        <f>R8*Assumptions!$F$10</f>
        <v/>
      </c>
      <c r="S13" s="32">
        <f>S8*Assumptions!$F$10</f>
        <v/>
      </c>
      <c r="T13" s="32">
        <f>T8*Assumptions!$F$10</f>
        <v/>
      </c>
      <c r="U13" s="32">
        <f>U8*Assumptions!$F$10</f>
        <v/>
      </c>
      <c r="V13" s="32">
        <f>V8*Assumptions!$F$10</f>
        <v/>
      </c>
      <c r="W13" s="32">
        <f>W8*Assumptions!$F$10</f>
        <v/>
      </c>
      <c r="X13" s="32">
        <f>X8*Assumptions!$F$10</f>
        <v/>
      </c>
      <c r="Y13" s="32">
        <f>Y8*Assumptions!$F$10</f>
        <v/>
      </c>
      <c r="Z13" s="32">
        <f>Z8*Assumptions!$F$10</f>
        <v/>
      </c>
      <c r="AA13" s="32">
        <f>AA8*Assumptions!$F$10</f>
        <v/>
      </c>
      <c r="AB13" s="32">
        <f>AB8*Assumptions!$F$10</f>
        <v/>
      </c>
      <c r="AC13" s="32">
        <f>AC8*Assumptions!$F$10</f>
        <v/>
      </c>
      <c r="AD13" s="32">
        <f>AD8*Assumptions!$F$10</f>
        <v/>
      </c>
      <c r="AE13" s="32">
        <f>AE8*Assumptions!$F$10</f>
        <v/>
      </c>
      <c r="AF13" s="32">
        <f>AF8*Assumptions!$F$10</f>
        <v/>
      </c>
      <c r="AG13" s="32">
        <f>AG8*Assumptions!$F$10</f>
        <v/>
      </c>
    </row>
    <row r="14">
      <c r="A14" s="31" t="inlineStr">
        <is>
          <t>Hosting, payment fees and project costs</t>
        </is>
      </c>
      <c r="B14" s="14" t="inlineStr"/>
      <c r="D14" s="17" t="n">
        <v>18945.60999999999</v>
      </c>
      <c r="E14" s="17" t="n">
        <v>19402.96000000002</v>
      </c>
      <c r="F14" s="17" t="n">
        <v>18037.48999999999</v>
      </c>
      <c r="G14" s="17" t="n">
        <v>18806.63</v>
      </c>
      <c r="H14" s="17" t="n">
        <v>27234.53999999998</v>
      </c>
      <c r="I14" s="17" t="n">
        <v>20424.83999999997</v>
      </c>
      <c r="J14" s="17" t="n">
        <v>19352.12</v>
      </c>
      <c r="K14" s="17" t="n">
        <v>22284.03000000003</v>
      </c>
      <c r="L14" s="17" t="n">
        <v>18854.53999999998</v>
      </c>
      <c r="M14" s="17" t="n">
        <v>21788.88</v>
      </c>
      <c r="N14" s="17" t="n">
        <v>20815.26999999996</v>
      </c>
      <c r="O14" s="17" t="n">
        <v>20532.17999999999</v>
      </c>
      <c r="P14" s="32">
        <f>P11*Assumptions!$F$11</f>
        <v/>
      </c>
      <c r="Q14" s="32">
        <f>Q11*Assumptions!$F$11</f>
        <v/>
      </c>
      <c r="R14" s="32">
        <f>R11*Assumptions!$F$11</f>
        <v/>
      </c>
      <c r="S14" s="32">
        <f>S11*Assumptions!$F$11</f>
        <v/>
      </c>
      <c r="T14" s="32">
        <f>T11*Assumptions!$F$11</f>
        <v/>
      </c>
      <c r="U14" s="32">
        <f>U11*Assumptions!$F$11</f>
        <v/>
      </c>
      <c r="V14" s="32">
        <f>V11*Assumptions!$F$11</f>
        <v/>
      </c>
      <c r="W14" s="32">
        <f>W11*Assumptions!$F$11</f>
        <v/>
      </c>
      <c r="X14" s="32">
        <f>X11*Assumptions!$F$11</f>
        <v/>
      </c>
      <c r="Y14" s="32">
        <f>Y11*Assumptions!$F$11</f>
        <v/>
      </c>
      <c r="Z14" s="32">
        <f>Z11*Assumptions!$F$11</f>
        <v/>
      </c>
      <c r="AA14" s="32">
        <f>AA11*Assumptions!$F$11</f>
        <v/>
      </c>
      <c r="AB14" s="32">
        <f>AB11*Assumptions!$F$11</f>
        <v/>
      </c>
      <c r="AC14" s="32">
        <f>AC11*Assumptions!$F$11</f>
        <v/>
      </c>
      <c r="AD14" s="32">
        <f>AD11*Assumptions!$F$11</f>
        <v/>
      </c>
      <c r="AE14" s="32">
        <f>AE11*Assumptions!$F$11</f>
        <v/>
      </c>
      <c r="AF14" s="32">
        <f>AF11*Assumptions!$F$11</f>
        <v/>
      </c>
      <c r="AG14" s="32">
        <f>AG11*Assumptions!$F$11</f>
        <v/>
      </c>
    </row>
    <row r="15">
      <c r="A15" s="33" t="inlineStr">
        <is>
          <t>Total cost of revenue</t>
        </is>
      </c>
      <c r="B15" s="14" t="inlineStr"/>
      <c r="D15" s="34">
        <f>D13+D14</f>
        <v/>
      </c>
      <c r="E15" s="34">
        <f>E13+E14</f>
        <v/>
      </c>
      <c r="F15" s="34">
        <f>F13+F14</f>
        <v/>
      </c>
      <c r="G15" s="34">
        <f>G13+G14</f>
        <v/>
      </c>
      <c r="H15" s="34">
        <f>H13+H14</f>
        <v/>
      </c>
      <c r="I15" s="34">
        <f>I13+I14</f>
        <v/>
      </c>
      <c r="J15" s="34">
        <f>J13+J14</f>
        <v/>
      </c>
      <c r="K15" s="34">
        <f>K13+K14</f>
        <v/>
      </c>
      <c r="L15" s="34">
        <f>L13+L14</f>
        <v/>
      </c>
      <c r="M15" s="34">
        <f>M13+M14</f>
        <v/>
      </c>
      <c r="N15" s="34">
        <f>N13+N14</f>
        <v/>
      </c>
      <c r="O15" s="34">
        <f>O13+O14</f>
        <v/>
      </c>
      <c r="P15" s="35">
        <f>P13+P14</f>
        <v/>
      </c>
      <c r="Q15" s="35">
        <f>Q13+Q14</f>
        <v/>
      </c>
      <c r="R15" s="35">
        <f>R13+R14</f>
        <v/>
      </c>
      <c r="S15" s="35">
        <f>S13+S14</f>
        <v/>
      </c>
      <c r="T15" s="35">
        <f>T13+T14</f>
        <v/>
      </c>
      <c r="U15" s="35">
        <f>U13+U14</f>
        <v/>
      </c>
      <c r="V15" s="35">
        <f>V13+V14</f>
        <v/>
      </c>
      <c r="W15" s="35">
        <f>W13+W14</f>
        <v/>
      </c>
      <c r="X15" s="35">
        <f>X13+X14</f>
        <v/>
      </c>
      <c r="Y15" s="35">
        <f>Y13+Y14</f>
        <v/>
      </c>
      <c r="Z15" s="35">
        <f>Z13+Z14</f>
        <v/>
      </c>
      <c r="AA15" s="35">
        <f>AA13+AA14</f>
        <v/>
      </c>
      <c r="AB15" s="35">
        <f>AB13+AB14</f>
        <v/>
      </c>
      <c r="AC15" s="35">
        <f>AC13+AC14</f>
        <v/>
      </c>
      <c r="AD15" s="35">
        <f>AD13+AD14</f>
        <v/>
      </c>
      <c r="AE15" s="35">
        <f>AE13+AE14</f>
        <v/>
      </c>
      <c r="AF15" s="35">
        <f>AF13+AF14</f>
        <v/>
      </c>
      <c r="AG15" s="35">
        <f>AG13+AG14</f>
        <v/>
      </c>
    </row>
    <row r="16">
      <c r="A16" s="33" t="inlineStr">
        <is>
          <t>Gross profit</t>
        </is>
      </c>
      <c r="B16" s="14" t="inlineStr"/>
      <c r="D16" s="34">
        <f>D11-D15</f>
        <v/>
      </c>
      <c r="E16" s="34">
        <f>E11-E15</f>
        <v/>
      </c>
      <c r="F16" s="34">
        <f>F11-F15</f>
        <v/>
      </c>
      <c r="G16" s="34">
        <f>G11-G15</f>
        <v/>
      </c>
      <c r="H16" s="34">
        <f>H11-H15</f>
        <v/>
      </c>
      <c r="I16" s="34">
        <f>I11-I15</f>
        <v/>
      </c>
      <c r="J16" s="34">
        <f>J11-J15</f>
        <v/>
      </c>
      <c r="K16" s="34">
        <f>K11-K15</f>
        <v/>
      </c>
      <c r="L16" s="34">
        <f>L11-L15</f>
        <v/>
      </c>
      <c r="M16" s="34">
        <f>M11-M15</f>
        <v/>
      </c>
      <c r="N16" s="34">
        <f>N11-N15</f>
        <v/>
      </c>
      <c r="O16" s="34">
        <f>O11-O15</f>
        <v/>
      </c>
      <c r="P16" s="35">
        <f>P11-P15</f>
        <v/>
      </c>
      <c r="Q16" s="35">
        <f>Q11-Q15</f>
        <v/>
      </c>
      <c r="R16" s="35">
        <f>R11-R15</f>
        <v/>
      </c>
      <c r="S16" s="35">
        <f>S11-S15</f>
        <v/>
      </c>
      <c r="T16" s="35">
        <f>T11-T15</f>
        <v/>
      </c>
      <c r="U16" s="35">
        <f>U11-U15</f>
        <v/>
      </c>
      <c r="V16" s="35">
        <f>V11-V15</f>
        <v/>
      </c>
      <c r="W16" s="35">
        <f>W11-W15</f>
        <v/>
      </c>
      <c r="X16" s="35">
        <f>X11-X15</f>
        <v/>
      </c>
      <c r="Y16" s="35">
        <f>Y11-Y15</f>
        <v/>
      </c>
      <c r="Z16" s="35">
        <f>Z11-Z15</f>
        <v/>
      </c>
      <c r="AA16" s="35">
        <f>AA11-AA15</f>
        <v/>
      </c>
      <c r="AB16" s="35">
        <f>AB11-AB15</f>
        <v/>
      </c>
      <c r="AC16" s="35">
        <f>AC11-AC15</f>
        <v/>
      </c>
      <c r="AD16" s="35">
        <f>AD11-AD15</f>
        <v/>
      </c>
      <c r="AE16" s="35">
        <f>AE11-AE15</f>
        <v/>
      </c>
      <c r="AF16" s="35">
        <f>AF11-AF15</f>
        <v/>
      </c>
      <c r="AG16" s="35">
        <f>AG11-AG15</f>
        <v/>
      </c>
    </row>
    <row r="17">
      <c r="A17" s="36" t="inlineStr">
        <is>
          <t>Gross margin</t>
        </is>
      </c>
      <c r="B17" s="14" t="inlineStr"/>
      <c r="D17" s="37">
        <f>IF(D11=0,0,D16/D11)</f>
        <v/>
      </c>
      <c r="E17" s="37">
        <f>IF(E11=0,0,E16/E11)</f>
        <v/>
      </c>
      <c r="F17" s="37">
        <f>IF(F11=0,0,F16/F11)</f>
        <v/>
      </c>
      <c r="G17" s="37">
        <f>IF(G11=0,0,G16/G11)</f>
        <v/>
      </c>
      <c r="H17" s="37">
        <f>IF(H11=0,0,H16/H11)</f>
        <v/>
      </c>
      <c r="I17" s="37">
        <f>IF(I11=0,0,I16/I11)</f>
        <v/>
      </c>
      <c r="J17" s="37">
        <f>IF(J11=0,0,J16/J11)</f>
        <v/>
      </c>
      <c r="K17" s="37">
        <f>IF(K11=0,0,K16/K11)</f>
        <v/>
      </c>
      <c r="L17" s="37">
        <f>IF(L11=0,0,L16/L11)</f>
        <v/>
      </c>
      <c r="M17" s="37">
        <f>IF(M11=0,0,M16/M11)</f>
        <v/>
      </c>
      <c r="N17" s="37">
        <f>IF(N11=0,0,N16/N11)</f>
        <v/>
      </c>
      <c r="O17" s="37">
        <f>IF(O11=0,0,O16/O11)</f>
        <v/>
      </c>
      <c r="P17" s="38">
        <f>IF(P11=0,0,P16/P11)</f>
        <v/>
      </c>
      <c r="Q17" s="38">
        <f>IF(Q11=0,0,Q16/Q11)</f>
        <v/>
      </c>
      <c r="R17" s="38">
        <f>IF(R11=0,0,R16/R11)</f>
        <v/>
      </c>
      <c r="S17" s="38">
        <f>IF(S11=0,0,S16/S11)</f>
        <v/>
      </c>
      <c r="T17" s="38">
        <f>IF(T11=0,0,T16/T11)</f>
        <v/>
      </c>
      <c r="U17" s="38">
        <f>IF(U11=0,0,U16/U11)</f>
        <v/>
      </c>
      <c r="V17" s="38">
        <f>IF(V11=0,0,V16/V11)</f>
        <v/>
      </c>
      <c r="W17" s="38">
        <f>IF(W11=0,0,W16/W11)</f>
        <v/>
      </c>
      <c r="X17" s="38">
        <f>IF(X11=0,0,X16/X11)</f>
        <v/>
      </c>
      <c r="Y17" s="38">
        <f>IF(Y11=0,0,Y16/Y11)</f>
        <v/>
      </c>
      <c r="Z17" s="38">
        <f>IF(Z11=0,0,Z16/Z11)</f>
        <v/>
      </c>
      <c r="AA17" s="38">
        <f>IF(AA11=0,0,AA16/AA11)</f>
        <v/>
      </c>
      <c r="AB17" s="38">
        <f>IF(AB11=0,0,AB16/AB11)</f>
        <v/>
      </c>
      <c r="AC17" s="38">
        <f>IF(AC11=0,0,AC16/AC11)</f>
        <v/>
      </c>
      <c r="AD17" s="38">
        <f>IF(AD11=0,0,AD16/AD11)</f>
        <v/>
      </c>
      <c r="AE17" s="38">
        <f>IF(AE11=0,0,AE16/AE11)</f>
        <v/>
      </c>
      <c r="AF17" s="38">
        <f>IF(AF11=0,0,AF16/AF11)</f>
        <v/>
      </c>
      <c r="AG17" s="38">
        <f>IF(AG11=0,0,AG16/AG11)</f>
        <v/>
      </c>
    </row>
    <row r="18">
      <c r="A18" s="29" t="inlineStr">
        <is>
          <t>Operating expenses</t>
        </is>
      </c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0" t="n"/>
      <c r="AE18" s="30" t="n"/>
      <c r="AF18" s="30" t="n"/>
      <c r="AG18" s="30" t="n"/>
    </row>
    <row r="19">
      <c r="A19" s="31" t="inlineStr">
        <is>
          <t>Payroll (salaries, payroll taxes, benefits)</t>
        </is>
      </c>
      <c r="B19" s="14" t="inlineStr"/>
      <c r="D19" s="17" t="n">
        <v>695878.13</v>
      </c>
      <c r="E19" s="17" t="n">
        <v>719306.67</v>
      </c>
      <c r="F19" s="17" t="n">
        <v>742224.34</v>
      </c>
      <c r="G19" s="17" t="n">
        <v>775438.33</v>
      </c>
      <c r="H19" s="17" t="n">
        <v>763010.83</v>
      </c>
      <c r="I19" s="17" t="n">
        <v>811964.29</v>
      </c>
      <c r="J19" s="17" t="n">
        <v>834426.08</v>
      </c>
      <c r="K19" s="17" t="n">
        <v>834141.08</v>
      </c>
      <c r="L19" s="17" t="n">
        <v>834141.08</v>
      </c>
      <c r="M19" s="17" t="n">
        <v>854827.87</v>
      </c>
      <c r="N19" s="17" t="n">
        <v>854542.87</v>
      </c>
      <c r="O19" s="17" t="n">
        <v>854542.87</v>
      </c>
      <c r="P19" s="32">
        <f>O19+Assumptions!$C$28*Assumptions!$F$12</f>
        <v/>
      </c>
      <c r="Q19" s="32">
        <f>P19+Assumptions!$D$28*Assumptions!$F$12</f>
        <v/>
      </c>
      <c r="R19" s="32">
        <f>Q19+Assumptions!$E$28*Assumptions!$F$12</f>
        <v/>
      </c>
      <c r="S19" s="32">
        <f>R19+Assumptions!$F$28*Assumptions!$F$12</f>
        <v/>
      </c>
      <c r="T19" s="32">
        <f>S19+Assumptions!$G$28*Assumptions!$F$12</f>
        <v/>
      </c>
      <c r="U19" s="32">
        <f>T19+Assumptions!$H$28*Assumptions!$F$12</f>
        <v/>
      </c>
      <c r="V19" s="32">
        <f>U19+Assumptions!$I$28*Assumptions!$F$12</f>
        <v/>
      </c>
      <c r="W19" s="32">
        <f>V19+Assumptions!$J$28*Assumptions!$F$12</f>
        <v/>
      </c>
      <c r="X19" s="32">
        <f>W19+Assumptions!$K$28*Assumptions!$F$12</f>
        <v/>
      </c>
      <c r="Y19" s="32">
        <f>X19+Assumptions!$L$28*Assumptions!$F$12</f>
        <v/>
      </c>
      <c r="Z19" s="32">
        <f>Y19+Assumptions!$M$28*Assumptions!$F$12</f>
        <v/>
      </c>
      <c r="AA19" s="32">
        <f>Z19+Assumptions!$N$28*Assumptions!$F$12</f>
        <v/>
      </c>
      <c r="AB19" s="32">
        <f>AA19+Assumptions!$O$28*Assumptions!$F$12</f>
        <v/>
      </c>
      <c r="AC19" s="32">
        <f>AB19+Assumptions!$P$28*Assumptions!$F$12</f>
        <v/>
      </c>
      <c r="AD19" s="32">
        <f>AC19+Assumptions!$Q$28*Assumptions!$F$12</f>
        <v/>
      </c>
      <c r="AE19" s="32">
        <f>AD19+Assumptions!$R$28*Assumptions!$F$12</f>
        <v/>
      </c>
      <c r="AF19" s="32">
        <f>AE19+Assumptions!$S$28*Assumptions!$F$12</f>
        <v/>
      </c>
      <c r="AG19" s="32">
        <f>AF19+Assumptions!$T$28*Assumptions!$F$12</f>
        <v/>
      </c>
    </row>
    <row r="20">
      <c r="A20" s="31" t="inlineStr">
        <is>
          <t>Non-payroll opex (cloud R&amp;D, software, rent, fees, marketing)</t>
        </is>
      </c>
      <c r="B20" s="14" t="inlineStr"/>
      <c r="D20" s="17" t="n">
        <v>92574.44999999995</v>
      </c>
      <c r="E20" s="17" t="n">
        <v>101623.1799999999</v>
      </c>
      <c r="F20" s="17" t="n">
        <v>101636.73</v>
      </c>
      <c r="G20" s="17" t="n">
        <v>101765.04</v>
      </c>
      <c r="H20" s="17" t="n">
        <v>101611.63</v>
      </c>
      <c r="I20" s="17" t="n">
        <v>153625.3199999999</v>
      </c>
      <c r="J20" s="17" t="n">
        <v>142822.01</v>
      </c>
      <c r="K20" s="17" t="n">
        <v>140996.55</v>
      </c>
      <c r="L20" s="17" t="n">
        <v>110806.92</v>
      </c>
      <c r="M20" s="17" t="n">
        <v>113110.1</v>
      </c>
      <c r="N20" s="17" t="n">
        <v>113106.8199999999</v>
      </c>
      <c r="O20" s="17" t="n">
        <v>113133.2</v>
      </c>
      <c r="P20" s="32">
        <f>O20*(1+Assumptions!$F$13)</f>
        <v/>
      </c>
      <c r="Q20" s="32">
        <f>P20*(1+Assumptions!$F$13)</f>
        <v/>
      </c>
      <c r="R20" s="32">
        <f>Q20*(1+Assumptions!$F$13)</f>
        <v/>
      </c>
      <c r="S20" s="32">
        <f>R20*(1+Assumptions!$F$13)</f>
        <v/>
      </c>
      <c r="T20" s="32">
        <f>S20*(1+Assumptions!$F$13)</f>
        <v/>
      </c>
      <c r="U20" s="32">
        <f>T20*(1+Assumptions!$F$13)</f>
        <v/>
      </c>
      <c r="V20" s="32">
        <f>U20*(1+Assumptions!$F$13)</f>
        <v/>
      </c>
      <c r="W20" s="32">
        <f>V20*(1+Assumptions!$F$13)</f>
        <v/>
      </c>
      <c r="X20" s="32">
        <f>W20*(1+Assumptions!$F$13)</f>
        <v/>
      </c>
      <c r="Y20" s="32">
        <f>X20*(1+Assumptions!$F$13)</f>
        <v/>
      </c>
      <c r="Z20" s="32">
        <f>Y20*(1+Assumptions!$F$13)</f>
        <v/>
      </c>
      <c r="AA20" s="32">
        <f>Z20*(1+Assumptions!$F$13)</f>
        <v/>
      </c>
      <c r="AB20" s="32">
        <f>AA20*(1+Assumptions!$F$13)</f>
        <v/>
      </c>
      <c r="AC20" s="32">
        <f>AB20*(1+Assumptions!$F$13)</f>
        <v/>
      </c>
      <c r="AD20" s="32">
        <f>AC20*(1+Assumptions!$F$13)</f>
        <v/>
      </c>
      <c r="AE20" s="32">
        <f>AD20*(1+Assumptions!$F$13)</f>
        <v/>
      </c>
      <c r="AF20" s="32">
        <f>AE20*(1+Assumptions!$F$13)</f>
        <v/>
      </c>
      <c r="AG20" s="32">
        <f>AF20*(1+Assumptions!$F$13)</f>
        <v/>
      </c>
    </row>
    <row r="21">
      <c r="A21" s="33" t="inlineStr">
        <is>
          <t>Total operating expenses</t>
        </is>
      </c>
      <c r="B21" s="14" t="inlineStr"/>
      <c r="D21" s="34">
        <f>D19+D20</f>
        <v/>
      </c>
      <c r="E21" s="34">
        <f>E19+E20</f>
        <v/>
      </c>
      <c r="F21" s="34">
        <f>F19+F20</f>
        <v/>
      </c>
      <c r="G21" s="34">
        <f>G19+G20</f>
        <v/>
      </c>
      <c r="H21" s="34">
        <f>H19+H20</f>
        <v/>
      </c>
      <c r="I21" s="34">
        <f>I19+I20</f>
        <v/>
      </c>
      <c r="J21" s="34">
        <f>J19+J20</f>
        <v/>
      </c>
      <c r="K21" s="34">
        <f>K19+K20</f>
        <v/>
      </c>
      <c r="L21" s="34">
        <f>L19+L20</f>
        <v/>
      </c>
      <c r="M21" s="34">
        <f>M19+M20</f>
        <v/>
      </c>
      <c r="N21" s="34">
        <f>N19+N20</f>
        <v/>
      </c>
      <c r="O21" s="34">
        <f>O19+O20</f>
        <v/>
      </c>
      <c r="P21" s="35">
        <f>P19+P20</f>
        <v/>
      </c>
      <c r="Q21" s="35">
        <f>Q19+Q20</f>
        <v/>
      </c>
      <c r="R21" s="35">
        <f>R19+R20</f>
        <v/>
      </c>
      <c r="S21" s="35">
        <f>S19+S20</f>
        <v/>
      </c>
      <c r="T21" s="35">
        <f>T19+T20</f>
        <v/>
      </c>
      <c r="U21" s="35">
        <f>U19+U20</f>
        <v/>
      </c>
      <c r="V21" s="35">
        <f>V19+V20</f>
        <v/>
      </c>
      <c r="W21" s="35">
        <f>W19+W20</f>
        <v/>
      </c>
      <c r="X21" s="35">
        <f>X19+X20</f>
        <v/>
      </c>
      <c r="Y21" s="35">
        <f>Y19+Y20</f>
        <v/>
      </c>
      <c r="Z21" s="35">
        <f>Z19+Z20</f>
        <v/>
      </c>
      <c r="AA21" s="35">
        <f>AA19+AA20</f>
        <v/>
      </c>
      <c r="AB21" s="35">
        <f>AB19+AB20</f>
        <v/>
      </c>
      <c r="AC21" s="35">
        <f>AC19+AC20</f>
        <v/>
      </c>
      <c r="AD21" s="35">
        <f>AD19+AD20</f>
        <v/>
      </c>
      <c r="AE21" s="35">
        <f>AE19+AE20</f>
        <v/>
      </c>
      <c r="AF21" s="35">
        <f>AF19+AF20</f>
        <v/>
      </c>
      <c r="AG21" s="35">
        <f>AG19+AG20</f>
        <v/>
      </c>
    </row>
    <row r="22">
      <c r="A22" s="33" t="inlineStr">
        <is>
          <t>EBITDA</t>
        </is>
      </c>
      <c r="B22" s="14" t="inlineStr"/>
      <c r="D22" s="34">
        <f>D16-D21</f>
        <v/>
      </c>
      <c r="E22" s="34">
        <f>E16-E21</f>
        <v/>
      </c>
      <c r="F22" s="34">
        <f>F16-F21</f>
        <v/>
      </c>
      <c r="G22" s="34">
        <f>G16-G21</f>
        <v/>
      </c>
      <c r="H22" s="34">
        <f>H16-H21</f>
        <v/>
      </c>
      <c r="I22" s="34">
        <f>I16-I21</f>
        <v/>
      </c>
      <c r="J22" s="34">
        <f>J16-J21</f>
        <v/>
      </c>
      <c r="K22" s="34">
        <f>K16-K21</f>
        <v/>
      </c>
      <c r="L22" s="34">
        <f>L16-L21</f>
        <v/>
      </c>
      <c r="M22" s="34">
        <f>M16-M21</f>
        <v/>
      </c>
      <c r="N22" s="34">
        <f>N16-N21</f>
        <v/>
      </c>
      <c r="O22" s="34">
        <f>O16-O21</f>
        <v/>
      </c>
      <c r="P22" s="35">
        <f>P16-P21</f>
        <v/>
      </c>
      <c r="Q22" s="35">
        <f>Q16-Q21</f>
        <v/>
      </c>
      <c r="R22" s="35">
        <f>R16-R21</f>
        <v/>
      </c>
      <c r="S22" s="35">
        <f>S16-S21</f>
        <v/>
      </c>
      <c r="T22" s="35">
        <f>T16-T21</f>
        <v/>
      </c>
      <c r="U22" s="35">
        <f>U16-U21</f>
        <v/>
      </c>
      <c r="V22" s="35">
        <f>V16-V21</f>
        <v/>
      </c>
      <c r="W22" s="35">
        <f>W16-W21</f>
        <v/>
      </c>
      <c r="X22" s="35">
        <f>X16-X21</f>
        <v/>
      </c>
      <c r="Y22" s="35">
        <f>Y16-Y21</f>
        <v/>
      </c>
      <c r="Z22" s="35">
        <f>Z16-Z21</f>
        <v/>
      </c>
      <c r="AA22" s="35">
        <f>AA16-AA21</f>
        <v/>
      </c>
      <c r="AB22" s="35">
        <f>AB16-AB21</f>
        <v/>
      </c>
      <c r="AC22" s="35">
        <f>AC16-AC21</f>
        <v/>
      </c>
      <c r="AD22" s="35">
        <f>AD16-AD21</f>
        <v/>
      </c>
      <c r="AE22" s="35">
        <f>AE16-AE21</f>
        <v/>
      </c>
      <c r="AF22" s="35">
        <f>AF16-AF21</f>
        <v/>
      </c>
      <c r="AG22" s="35">
        <f>AG16-AG21</f>
        <v/>
      </c>
    </row>
    <row r="23">
      <c r="A23" s="31" t="inlineStr">
        <is>
          <t>Depreciation</t>
        </is>
      </c>
      <c r="B23" s="14" t="inlineStr"/>
      <c r="D23" s="17" t="n">
        <v>30000</v>
      </c>
      <c r="E23" s="17" t="n">
        <v>30000</v>
      </c>
      <c r="F23" s="17" t="n">
        <v>35833.33</v>
      </c>
      <c r="G23" s="17" t="n">
        <v>35833.33</v>
      </c>
      <c r="H23" s="17" t="n">
        <v>35833.33</v>
      </c>
      <c r="I23" s="17" t="n">
        <v>35833.33</v>
      </c>
      <c r="J23" s="17" t="n">
        <v>35833.33</v>
      </c>
      <c r="K23" s="17" t="n">
        <v>54583.33</v>
      </c>
      <c r="L23" s="17" t="n">
        <v>54583.33</v>
      </c>
      <c r="M23" s="17" t="n">
        <v>54583.33</v>
      </c>
      <c r="N23" s="17" t="n">
        <v>54583.33</v>
      </c>
      <c r="O23" s="17" t="n">
        <v>57083.33</v>
      </c>
      <c r="P23" s="32">
        <f>$O$23</f>
        <v/>
      </c>
      <c r="Q23" s="32">
        <f>$O$23-SUM('Cash flow'!$P$15:'Cash flow'!P15)/Assumptions!$F$16</f>
        <v/>
      </c>
      <c r="R23" s="32">
        <f>$O$23-SUM('Cash flow'!$P$15:'Cash flow'!Q15)/Assumptions!$F$16</f>
        <v/>
      </c>
      <c r="S23" s="32">
        <f>$O$23-SUM('Cash flow'!$P$15:'Cash flow'!R15)/Assumptions!$F$16</f>
        <v/>
      </c>
      <c r="T23" s="32">
        <f>$O$23-SUM('Cash flow'!$P$15:'Cash flow'!S15)/Assumptions!$F$16</f>
        <v/>
      </c>
      <c r="U23" s="32">
        <f>$O$23-SUM('Cash flow'!$P$15:'Cash flow'!T15)/Assumptions!$F$16</f>
        <v/>
      </c>
      <c r="V23" s="32">
        <f>$O$23-SUM('Cash flow'!$P$15:'Cash flow'!U15)/Assumptions!$F$16</f>
        <v/>
      </c>
      <c r="W23" s="32">
        <f>$O$23-SUM('Cash flow'!$P$15:'Cash flow'!V15)/Assumptions!$F$16</f>
        <v/>
      </c>
      <c r="X23" s="32">
        <f>$O$23-SUM('Cash flow'!$P$15:'Cash flow'!W15)/Assumptions!$F$16</f>
        <v/>
      </c>
      <c r="Y23" s="32">
        <f>$O$23-SUM('Cash flow'!$P$15:'Cash flow'!X15)/Assumptions!$F$16</f>
        <v/>
      </c>
      <c r="Z23" s="32">
        <f>$O$23-SUM('Cash flow'!$P$15:'Cash flow'!Y15)/Assumptions!$F$16</f>
        <v/>
      </c>
      <c r="AA23" s="32">
        <f>$O$23-SUM('Cash flow'!$P$15:'Cash flow'!Z15)/Assumptions!$F$16</f>
        <v/>
      </c>
      <c r="AB23" s="32">
        <f>$O$23-SUM('Cash flow'!$P$15:'Cash flow'!AA15)/Assumptions!$F$16</f>
        <v/>
      </c>
      <c r="AC23" s="32">
        <f>$O$23-SUM('Cash flow'!$P$15:'Cash flow'!AB15)/Assumptions!$F$16</f>
        <v/>
      </c>
      <c r="AD23" s="32">
        <f>$O$23-SUM('Cash flow'!$P$15:'Cash flow'!AC15)/Assumptions!$F$16</f>
        <v/>
      </c>
      <c r="AE23" s="32">
        <f>$O$23-SUM('Cash flow'!$P$15:'Cash flow'!AD15)/Assumptions!$F$16</f>
        <v/>
      </c>
      <c r="AF23" s="32">
        <f>$O$23-SUM('Cash flow'!$P$15:'Cash flow'!AE15)/Assumptions!$F$16</f>
        <v/>
      </c>
      <c r="AG23" s="32">
        <f>$O$23-SUM('Cash flow'!$P$15:'Cash flow'!AF15)/Assumptions!$F$16</f>
        <v/>
      </c>
    </row>
    <row r="24">
      <c r="A24" s="33" t="inlineStr">
        <is>
          <t>Operating income (EBIT)</t>
        </is>
      </c>
      <c r="B24" s="14" t="inlineStr"/>
      <c r="D24" s="34">
        <f>D22-D23</f>
        <v/>
      </c>
      <c r="E24" s="34">
        <f>E22-E23</f>
        <v/>
      </c>
      <c r="F24" s="34">
        <f>F22-F23</f>
        <v/>
      </c>
      <c r="G24" s="34">
        <f>G22-G23</f>
        <v/>
      </c>
      <c r="H24" s="34">
        <f>H22-H23</f>
        <v/>
      </c>
      <c r="I24" s="34">
        <f>I22-I23</f>
        <v/>
      </c>
      <c r="J24" s="34">
        <f>J22-J23</f>
        <v/>
      </c>
      <c r="K24" s="34">
        <f>K22-K23</f>
        <v/>
      </c>
      <c r="L24" s="34">
        <f>L22-L23</f>
        <v/>
      </c>
      <c r="M24" s="34">
        <f>M22-M23</f>
        <v/>
      </c>
      <c r="N24" s="34">
        <f>N22-N23</f>
        <v/>
      </c>
      <c r="O24" s="34">
        <f>O22-O23</f>
        <v/>
      </c>
      <c r="P24" s="35">
        <f>P22-P23</f>
        <v/>
      </c>
      <c r="Q24" s="35">
        <f>Q22-Q23</f>
        <v/>
      </c>
      <c r="R24" s="35">
        <f>R22-R23</f>
        <v/>
      </c>
      <c r="S24" s="35">
        <f>S22-S23</f>
        <v/>
      </c>
      <c r="T24" s="35">
        <f>T22-T23</f>
        <v/>
      </c>
      <c r="U24" s="35">
        <f>U22-U23</f>
        <v/>
      </c>
      <c r="V24" s="35">
        <f>V22-V23</f>
        <v/>
      </c>
      <c r="W24" s="35">
        <f>W22-W23</f>
        <v/>
      </c>
      <c r="X24" s="35">
        <f>X22-X23</f>
        <v/>
      </c>
      <c r="Y24" s="35">
        <f>Y22-Y23</f>
        <v/>
      </c>
      <c r="Z24" s="35">
        <f>Z22-Z23</f>
        <v/>
      </c>
      <c r="AA24" s="35">
        <f>AA22-AA23</f>
        <v/>
      </c>
      <c r="AB24" s="35">
        <f>AB22-AB23</f>
        <v/>
      </c>
      <c r="AC24" s="35">
        <f>AC22-AC23</f>
        <v/>
      </c>
      <c r="AD24" s="35">
        <f>AD22-AD23</f>
        <v/>
      </c>
      <c r="AE24" s="35">
        <f>AE22-AE23</f>
        <v/>
      </c>
      <c r="AF24" s="35">
        <f>AF22-AF23</f>
        <v/>
      </c>
      <c r="AG24" s="35">
        <f>AG22-AG23</f>
        <v/>
      </c>
    </row>
    <row r="25">
      <c r="A25" s="31" t="inlineStr">
        <is>
          <t>Income tax</t>
        </is>
      </c>
      <c r="B25" s="14" t="inlineStr"/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32">
        <f>MAX(0,P24)*Assumptions!$F$20</f>
        <v/>
      </c>
      <c r="Q25" s="32">
        <f>MAX(0,Q24)*Assumptions!$F$20</f>
        <v/>
      </c>
      <c r="R25" s="32">
        <f>MAX(0,R24)*Assumptions!$F$20</f>
        <v/>
      </c>
      <c r="S25" s="32">
        <f>MAX(0,S24)*Assumptions!$F$20</f>
        <v/>
      </c>
      <c r="T25" s="32">
        <f>MAX(0,T24)*Assumptions!$F$20</f>
        <v/>
      </c>
      <c r="U25" s="32">
        <f>MAX(0,U24)*Assumptions!$F$20</f>
        <v/>
      </c>
      <c r="V25" s="32">
        <f>MAX(0,V24)*Assumptions!$F$20</f>
        <v/>
      </c>
      <c r="W25" s="32">
        <f>MAX(0,W24)*Assumptions!$F$20</f>
        <v/>
      </c>
      <c r="X25" s="32">
        <f>MAX(0,X24)*Assumptions!$F$20</f>
        <v/>
      </c>
      <c r="Y25" s="32">
        <f>MAX(0,Y24)*Assumptions!$F$20</f>
        <v/>
      </c>
      <c r="Z25" s="32">
        <f>MAX(0,Z24)*Assumptions!$F$20</f>
        <v/>
      </c>
      <c r="AA25" s="32">
        <f>MAX(0,AA24)*Assumptions!$F$20</f>
        <v/>
      </c>
      <c r="AB25" s="32">
        <f>MAX(0,AB24)*Assumptions!$F$20</f>
        <v/>
      </c>
      <c r="AC25" s="32">
        <f>MAX(0,AC24)*Assumptions!$F$20</f>
        <v/>
      </c>
      <c r="AD25" s="32">
        <f>MAX(0,AD24)*Assumptions!$F$20</f>
        <v/>
      </c>
      <c r="AE25" s="32">
        <f>MAX(0,AE24)*Assumptions!$F$20</f>
        <v/>
      </c>
      <c r="AF25" s="32">
        <f>MAX(0,AF24)*Assumptions!$F$20</f>
        <v/>
      </c>
      <c r="AG25" s="32">
        <f>MAX(0,AG24)*Assumptions!$F$20</f>
        <v/>
      </c>
    </row>
    <row r="26">
      <c r="A26" s="33" t="inlineStr">
        <is>
          <t>Net income</t>
        </is>
      </c>
      <c r="B26" s="14" t="inlineStr"/>
      <c r="D26" s="34">
        <f>D24-D25</f>
        <v/>
      </c>
      <c r="E26" s="34">
        <f>E24-E25</f>
        <v/>
      </c>
      <c r="F26" s="34">
        <f>F24-F25</f>
        <v/>
      </c>
      <c r="G26" s="34">
        <f>G24-G25</f>
        <v/>
      </c>
      <c r="H26" s="34">
        <f>H24-H25</f>
        <v/>
      </c>
      <c r="I26" s="34">
        <f>I24-I25</f>
        <v/>
      </c>
      <c r="J26" s="34">
        <f>J24-J25</f>
        <v/>
      </c>
      <c r="K26" s="34">
        <f>K24-K25</f>
        <v/>
      </c>
      <c r="L26" s="34">
        <f>L24-L25</f>
        <v/>
      </c>
      <c r="M26" s="34">
        <f>M24-M25</f>
        <v/>
      </c>
      <c r="N26" s="34">
        <f>N24-N25</f>
        <v/>
      </c>
      <c r="O26" s="34">
        <f>O24-O25</f>
        <v/>
      </c>
      <c r="P26" s="35">
        <f>P24-P25</f>
        <v/>
      </c>
      <c r="Q26" s="35">
        <f>Q24-Q25</f>
        <v/>
      </c>
      <c r="R26" s="35">
        <f>R24-R25</f>
        <v/>
      </c>
      <c r="S26" s="35">
        <f>S24-S25</f>
        <v/>
      </c>
      <c r="T26" s="35">
        <f>T24-T25</f>
        <v/>
      </c>
      <c r="U26" s="35">
        <f>U24-U25</f>
        <v/>
      </c>
      <c r="V26" s="35">
        <f>V24-V25</f>
        <v/>
      </c>
      <c r="W26" s="35">
        <f>W24-W25</f>
        <v/>
      </c>
      <c r="X26" s="35">
        <f>X24-X25</f>
        <v/>
      </c>
      <c r="Y26" s="35">
        <f>Y24-Y25</f>
        <v/>
      </c>
      <c r="Z26" s="35">
        <f>Z24-Z25</f>
        <v/>
      </c>
      <c r="AA26" s="35">
        <f>AA24-AA25</f>
        <v/>
      </c>
      <c r="AB26" s="35">
        <f>AB24-AB25</f>
        <v/>
      </c>
      <c r="AC26" s="35">
        <f>AC24-AC25</f>
        <v/>
      </c>
      <c r="AD26" s="35">
        <f>AD24-AD25</f>
        <v/>
      </c>
      <c r="AE26" s="35">
        <f>AE24-AE25</f>
        <v/>
      </c>
      <c r="AF26" s="35">
        <f>AF24-AF25</f>
        <v/>
      </c>
      <c r="AG26" s="35">
        <f>AG24-AG25</f>
        <v/>
      </c>
    </row>
    <row r="28">
      <c r="A28" s="29" t="inlineStr">
        <is>
          <t>Memo</t>
        </is>
      </c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  <c r="AA28" s="30" t="n"/>
      <c r="AB28" s="30" t="n"/>
      <c r="AC28" s="30" t="n"/>
      <c r="AD28" s="30" t="n"/>
      <c r="AE28" s="30" t="n"/>
      <c r="AF28" s="30" t="n"/>
      <c r="AG28" s="30" t="n"/>
    </row>
    <row r="29">
      <c r="A29" s="31" t="inlineStr">
        <is>
          <t>Net income per the ledger (actuals)</t>
        </is>
      </c>
      <c r="B29" s="14" t="inlineStr"/>
      <c r="D29" s="17" t="n">
        <v>60376.53</v>
      </c>
      <c r="E29" s="17" t="n">
        <v>38726.96</v>
      </c>
      <c r="F29" s="17" t="n">
        <v>-14079.44</v>
      </c>
      <c r="G29" s="17" t="n">
        <v>-14142.66</v>
      </c>
      <c r="H29" s="17" t="n">
        <v>-64209.71</v>
      </c>
      <c r="I29" s="17" t="n">
        <v>-47393.72</v>
      </c>
      <c r="J29" s="17" t="n">
        <v>-65300.71</v>
      </c>
      <c r="K29" s="17" t="n">
        <v>-130018.52</v>
      </c>
      <c r="L29" s="17" t="n">
        <v>-102614.74</v>
      </c>
      <c r="M29" s="17" t="n">
        <v>-130274.83</v>
      </c>
      <c r="N29" s="17" t="n">
        <v>-134649.57</v>
      </c>
      <c r="O29" s="17" t="n">
        <v>-70573.11</v>
      </c>
    </row>
    <row r="30">
      <c r="A30" s="31" t="inlineStr">
        <is>
          <t>Headcount (month end)</t>
        </is>
      </c>
      <c r="B30" s="14" t="inlineStr"/>
      <c r="C30" s="19" t="n">
        <v>40</v>
      </c>
      <c r="D30" s="19" t="n">
        <v>41</v>
      </c>
      <c r="E30" s="19" t="n">
        <v>45</v>
      </c>
      <c r="F30" s="19" t="n">
        <v>46</v>
      </c>
      <c r="G30" s="19" t="n">
        <v>46</v>
      </c>
      <c r="H30" s="19" t="n">
        <v>46</v>
      </c>
      <c r="I30" s="19" t="n">
        <v>49</v>
      </c>
      <c r="J30" s="19" t="n">
        <v>51</v>
      </c>
      <c r="K30" s="19" t="n">
        <v>51</v>
      </c>
      <c r="L30" s="19" t="n">
        <v>51</v>
      </c>
      <c r="M30" s="19" t="n">
        <v>52</v>
      </c>
      <c r="N30" s="19" t="n">
        <v>52</v>
      </c>
      <c r="O30" s="19" t="n">
        <v>52</v>
      </c>
      <c r="P30" s="39">
        <f>O30+Assumptions!$C$27*Assumptions!$F$12</f>
        <v/>
      </c>
      <c r="Q30" s="39">
        <f>P30+Assumptions!$D$27*Assumptions!$F$12</f>
        <v/>
      </c>
      <c r="R30" s="39">
        <f>Q30+Assumptions!$E$27*Assumptions!$F$12</f>
        <v/>
      </c>
      <c r="S30" s="39">
        <f>R30+Assumptions!$F$27*Assumptions!$F$12</f>
        <v/>
      </c>
      <c r="T30" s="39">
        <f>S30+Assumptions!$G$27*Assumptions!$F$12</f>
        <v/>
      </c>
      <c r="U30" s="39">
        <f>T30+Assumptions!$H$27*Assumptions!$F$12</f>
        <v/>
      </c>
      <c r="V30" s="39">
        <f>U30+Assumptions!$I$27*Assumptions!$F$12</f>
        <v/>
      </c>
      <c r="W30" s="39">
        <f>V30+Assumptions!$J$27*Assumptions!$F$12</f>
        <v/>
      </c>
      <c r="X30" s="39">
        <f>W30+Assumptions!$K$27*Assumptions!$F$12</f>
        <v/>
      </c>
      <c r="Y30" s="39">
        <f>X30+Assumptions!$L$27*Assumptions!$F$12</f>
        <v/>
      </c>
      <c r="Z30" s="39">
        <f>Y30+Assumptions!$M$27*Assumptions!$F$12</f>
        <v/>
      </c>
      <c r="AA30" s="39">
        <f>Z30+Assumptions!$N$27*Assumptions!$F$12</f>
        <v/>
      </c>
      <c r="AB30" s="39">
        <f>AA30+Assumptions!$O$27*Assumptions!$F$12</f>
        <v/>
      </c>
      <c r="AC30" s="39">
        <f>AB30+Assumptions!$P$27*Assumptions!$F$12</f>
        <v/>
      </c>
      <c r="AD30" s="39">
        <f>AC30+Assumptions!$Q$27*Assumptions!$F$12</f>
        <v/>
      </c>
      <c r="AE30" s="39">
        <f>AD30+Assumptions!$R$27*Assumptions!$F$12</f>
        <v/>
      </c>
      <c r="AF30" s="39">
        <f>AE30+Assumptions!$S$27*Assumptions!$F$12</f>
        <v/>
      </c>
      <c r="AG30" s="39">
        <f>AF30+Assumptions!$T$27*Assumptions!$F$12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>
      <c r="A1" s="8" t="inlineStr">
        <is>
          <t>Echo Labs, Inc.</t>
        </is>
      </c>
    </row>
    <row r="2">
      <c r="A2" s="9" t="inlineStr">
        <is>
          <t>Balance sheet</t>
        </is>
      </c>
    </row>
    <row r="3">
      <c r="A3" s="10" t="inlineStr">
        <is>
          <t>Month-end balance sheet · actuals from the ledger (blue), forecast by formula (shaded) · USD</t>
        </is>
      </c>
    </row>
    <row r="4"/>
    <row r="5">
      <c r="A5" s="13" t="inlineStr">
        <is>
          <t>USD</t>
        </is>
      </c>
      <c r="B5" s="26" t="n"/>
      <c r="C5" s="27" t="inlineStr">
        <is>
          <t>2025-09</t>
        </is>
      </c>
      <c r="D5" s="27" t="inlineStr">
        <is>
          <t>2025-10</t>
        </is>
      </c>
      <c r="E5" s="27" t="inlineStr">
        <is>
          <t>2025-11</t>
        </is>
      </c>
      <c r="F5" s="27" t="inlineStr">
        <is>
          <t>2025-12</t>
        </is>
      </c>
      <c r="G5" s="27" t="inlineStr">
        <is>
          <t>2026-01</t>
        </is>
      </c>
      <c r="H5" s="27" t="inlineStr">
        <is>
          <t>2026-02</t>
        </is>
      </c>
      <c r="I5" s="27" t="inlineStr">
        <is>
          <t>2026-03</t>
        </is>
      </c>
      <c r="J5" s="27" t="inlineStr">
        <is>
          <t>2026-04</t>
        </is>
      </c>
      <c r="K5" s="27" t="inlineStr">
        <is>
          <t>2026-05</t>
        </is>
      </c>
      <c r="L5" s="27" t="inlineStr">
        <is>
          <t>2026-06</t>
        </is>
      </c>
      <c r="M5" s="27" t="inlineStr">
        <is>
          <t>2026-07</t>
        </is>
      </c>
      <c r="N5" s="27" t="inlineStr">
        <is>
          <t>2026-08</t>
        </is>
      </c>
      <c r="O5" s="27" t="inlineStr">
        <is>
          <t>2026-09</t>
        </is>
      </c>
      <c r="P5" s="27" t="inlineStr">
        <is>
          <t>2026-10</t>
        </is>
      </c>
      <c r="Q5" s="27" t="inlineStr">
        <is>
          <t>2026-11</t>
        </is>
      </c>
      <c r="R5" s="27" t="inlineStr">
        <is>
          <t>2026-12</t>
        </is>
      </c>
      <c r="S5" s="27" t="inlineStr">
        <is>
          <t>2027-01</t>
        </is>
      </c>
      <c r="T5" s="27" t="inlineStr">
        <is>
          <t>2027-02</t>
        </is>
      </c>
      <c r="U5" s="27" t="inlineStr">
        <is>
          <t>2027-03</t>
        </is>
      </c>
      <c r="V5" s="27" t="inlineStr">
        <is>
          <t>2027-04</t>
        </is>
      </c>
      <c r="W5" s="27" t="inlineStr">
        <is>
          <t>2027-05</t>
        </is>
      </c>
      <c r="X5" s="27" t="inlineStr">
        <is>
          <t>2027-06</t>
        </is>
      </c>
      <c r="Y5" s="27" t="inlineStr">
        <is>
          <t>2027-07</t>
        </is>
      </c>
      <c r="Z5" s="27" t="inlineStr">
        <is>
          <t>2027-08</t>
        </is>
      </c>
      <c r="AA5" s="27" t="inlineStr">
        <is>
          <t>2027-09</t>
        </is>
      </c>
      <c r="AB5" s="27" t="inlineStr">
        <is>
          <t>2027-10</t>
        </is>
      </c>
      <c r="AC5" s="27" t="inlineStr">
        <is>
          <t>2027-11</t>
        </is>
      </c>
      <c r="AD5" s="27" t="inlineStr">
        <is>
          <t>2027-12</t>
        </is>
      </c>
      <c r="AE5" s="27" t="inlineStr">
        <is>
          <t>2028-01</t>
        </is>
      </c>
      <c r="AF5" s="27" t="inlineStr">
        <is>
          <t>2028-02</t>
        </is>
      </c>
      <c r="AG5" s="27" t="inlineStr">
        <is>
          <t>2028-03</t>
        </is>
      </c>
    </row>
    <row r="6">
      <c r="C6" s="28" t="inlineStr">
        <is>
          <t>Opening</t>
        </is>
      </c>
      <c r="D6" s="28" t="inlineStr">
        <is>
          <t>Actual</t>
        </is>
      </c>
      <c r="E6" s="28" t="inlineStr">
        <is>
          <t>Actual</t>
        </is>
      </c>
      <c r="F6" s="28" t="inlineStr">
        <is>
          <t>Actual</t>
        </is>
      </c>
      <c r="G6" s="28" t="inlineStr">
        <is>
          <t>Actual</t>
        </is>
      </c>
      <c r="H6" s="28" t="inlineStr">
        <is>
          <t>Actual</t>
        </is>
      </c>
      <c r="I6" s="28" t="inlineStr">
        <is>
          <t>Actual</t>
        </is>
      </c>
      <c r="J6" s="28" t="inlineStr">
        <is>
          <t>Actual</t>
        </is>
      </c>
      <c r="K6" s="28" t="inlineStr">
        <is>
          <t>Actual</t>
        </is>
      </c>
      <c r="L6" s="28" t="inlineStr">
        <is>
          <t>Actual</t>
        </is>
      </c>
      <c r="M6" s="28" t="inlineStr">
        <is>
          <t>Actual</t>
        </is>
      </c>
      <c r="N6" s="28" t="inlineStr">
        <is>
          <t>Actual</t>
        </is>
      </c>
      <c r="O6" s="28" t="inlineStr">
        <is>
          <t>Actual</t>
        </is>
      </c>
      <c r="P6" s="28" t="inlineStr">
        <is>
          <t>Forecast</t>
        </is>
      </c>
      <c r="Q6" s="28" t="inlineStr">
        <is>
          <t>Forecast</t>
        </is>
      </c>
      <c r="R6" s="28" t="inlineStr">
        <is>
          <t>Forecast</t>
        </is>
      </c>
      <c r="S6" s="28" t="inlineStr">
        <is>
          <t>Forecast</t>
        </is>
      </c>
      <c r="T6" s="28" t="inlineStr">
        <is>
          <t>Forecast</t>
        </is>
      </c>
      <c r="U6" s="28" t="inlineStr">
        <is>
          <t>Forecast</t>
        </is>
      </c>
      <c r="V6" s="28" t="inlineStr">
        <is>
          <t>Forecast</t>
        </is>
      </c>
      <c r="W6" s="28" t="inlineStr">
        <is>
          <t>Forecast</t>
        </is>
      </c>
      <c r="X6" s="28" t="inlineStr">
        <is>
          <t>Forecast</t>
        </is>
      </c>
      <c r="Y6" s="28" t="inlineStr">
        <is>
          <t>Forecast</t>
        </is>
      </c>
      <c r="Z6" s="28" t="inlineStr">
        <is>
          <t>Forecast</t>
        </is>
      </c>
      <c r="AA6" s="28" t="inlineStr">
        <is>
          <t>Forecast</t>
        </is>
      </c>
      <c r="AB6" s="28" t="inlineStr">
        <is>
          <t>Forecast</t>
        </is>
      </c>
      <c r="AC6" s="28" t="inlineStr">
        <is>
          <t>Forecast</t>
        </is>
      </c>
      <c r="AD6" s="28" t="inlineStr">
        <is>
          <t>Forecast</t>
        </is>
      </c>
      <c r="AE6" s="28" t="inlineStr">
        <is>
          <t>Forecast</t>
        </is>
      </c>
      <c r="AF6" s="28" t="inlineStr">
        <is>
          <t>Forecast</t>
        </is>
      </c>
      <c r="AG6" s="28" t="inlineStr">
        <is>
          <t>Forecast</t>
        </is>
      </c>
    </row>
    <row r="7">
      <c r="A7" s="29" t="inlineStr">
        <is>
          <t>Assets</t>
        </is>
      </c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</row>
    <row r="8">
      <c r="A8" s="31" t="inlineStr">
        <is>
          <t>Cash</t>
        </is>
      </c>
      <c r="B8" s="14" t="inlineStr"/>
      <c r="C8" s="17" t="n">
        <v>14147002.54</v>
      </c>
      <c r="D8" s="17" t="n">
        <v>13880462.72</v>
      </c>
      <c r="E8" s="17" t="n">
        <v>13344738.5</v>
      </c>
      <c r="F8" s="17" t="n">
        <v>14034441.11</v>
      </c>
      <c r="G8" s="17" t="n">
        <v>13768936.76</v>
      </c>
      <c r="H8" s="17" t="n">
        <v>13443374.03</v>
      </c>
      <c r="I8" s="17" t="n">
        <v>13688428.88</v>
      </c>
      <c r="J8" s="17" t="n">
        <v>12647290.14</v>
      </c>
      <c r="K8" s="17" t="n">
        <v>12487283.88</v>
      </c>
      <c r="L8" s="17" t="n">
        <v>12623782.35</v>
      </c>
      <c r="M8" s="17" t="n">
        <v>12610392.9</v>
      </c>
      <c r="N8" s="17" t="n">
        <v>12459729.25</v>
      </c>
      <c r="O8" s="17" t="n">
        <v>12356003.86</v>
      </c>
      <c r="P8" s="32">
        <f>'Cash flow'!P21</f>
        <v/>
      </c>
      <c r="Q8" s="32">
        <f>'Cash flow'!Q21</f>
        <v/>
      </c>
      <c r="R8" s="32">
        <f>'Cash flow'!R21</f>
        <v/>
      </c>
      <c r="S8" s="32">
        <f>'Cash flow'!S21</f>
        <v/>
      </c>
      <c r="T8" s="32">
        <f>'Cash flow'!T21</f>
        <v/>
      </c>
      <c r="U8" s="32">
        <f>'Cash flow'!U21</f>
        <v/>
      </c>
      <c r="V8" s="32">
        <f>'Cash flow'!V21</f>
        <v/>
      </c>
      <c r="W8" s="32">
        <f>'Cash flow'!W21</f>
        <v/>
      </c>
      <c r="X8" s="32">
        <f>'Cash flow'!X21</f>
        <v/>
      </c>
      <c r="Y8" s="32">
        <f>'Cash flow'!Y21</f>
        <v/>
      </c>
      <c r="Z8" s="32">
        <f>'Cash flow'!Z21</f>
        <v/>
      </c>
      <c r="AA8" s="32">
        <f>'Cash flow'!AA21</f>
        <v/>
      </c>
      <c r="AB8" s="32">
        <f>'Cash flow'!AB21</f>
        <v/>
      </c>
      <c r="AC8" s="32">
        <f>'Cash flow'!AC21</f>
        <v/>
      </c>
      <c r="AD8" s="32">
        <f>'Cash flow'!AD21</f>
        <v/>
      </c>
      <c r="AE8" s="32">
        <f>'Cash flow'!AE21</f>
        <v/>
      </c>
      <c r="AF8" s="32">
        <f>'Cash flow'!AF21</f>
        <v/>
      </c>
      <c r="AG8" s="32">
        <f>'Cash flow'!AG21</f>
        <v/>
      </c>
    </row>
    <row r="9">
      <c r="A9" s="31" t="inlineStr">
        <is>
          <t>Accounts receivable</t>
        </is>
      </c>
      <c r="B9" s="14" t="inlineStr"/>
      <c r="C9" s="17" t="n">
        <v>1923464.36</v>
      </c>
      <c r="D9" s="17" t="n">
        <v>2360911.18</v>
      </c>
      <c r="E9" s="17" t="n">
        <v>2639855.96</v>
      </c>
      <c r="F9" s="17" t="n">
        <v>1958343.75</v>
      </c>
      <c r="G9" s="17" t="n">
        <v>2439168.48</v>
      </c>
      <c r="H9" s="17" t="n">
        <v>2857194.67</v>
      </c>
      <c r="I9" s="17" t="n">
        <v>2636823.41</v>
      </c>
      <c r="J9" s="17" t="n">
        <v>2787466.5</v>
      </c>
      <c r="K9" s="17" t="n">
        <v>2858499.08</v>
      </c>
      <c r="L9" s="17" t="n">
        <v>2671537.59</v>
      </c>
      <c r="M9" s="17" t="n">
        <v>2614032.49</v>
      </c>
      <c r="N9" s="17" t="n">
        <v>2596759.77</v>
      </c>
      <c r="O9" s="17" t="n">
        <v>2717039.8</v>
      </c>
      <c r="P9" s="32">
        <f>'P&amp;L'!P11*Assumptions!$F$17/30</f>
        <v/>
      </c>
      <c r="Q9" s="32">
        <f>'P&amp;L'!Q11*Assumptions!$F$17/30</f>
        <v/>
      </c>
      <c r="R9" s="32">
        <f>'P&amp;L'!R11*Assumptions!$F$17/30</f>
        <v/>
      </c>
      <c r="S9" s="32">
        <f>'P&amp;L'!S11*Assumptions!$F$17/30</f>
        <v/>
      </c>
      <c r="T9" s="32">
        <f>'P&amp;L'!T11*Assumptions!$F$17/30</f>
        <v/>
      </c>
      <c r="U9" s="32">
        <f>'P&amp;L'!U11*Assumptions!$F$17/30</f>
        <v/>
      </c>
      <c r="V9" s="32">
        <f>'P&amp;L'!V11*Assumptions!$F$17/30</f>
        <v/>
      </c>
      <c r="W9" s="32">
        <f>'P&amp;L'!W11*Assumptions!$F$17/30</f>
        <v/>
      </c>
      <c r="X9" s="32">
        <f>'P&amp;L'!X11*Assumptions!$F$17/30</f>
        <v/>
      </c>
      <c r="Y9" s="32">
        <f>'P&amp;L'!Y11*Assumptions!$F$17/30</f>
        <v/>
      </c>
      <c r="Z9" s="32">
        <f>'P&amp;L'!Z11*Assumptions!$F$17/30</f>
        <v/>
      </c>
      <c r="AA9" s="32">
        <f>'P&amp;L'!AA11*Assumptions!$F$17/30</f>
        <v/>
      </c>
      <c r="AB9" s="32">
        <f>'P&amp;L'!AB11*Assumptions!$F$17/30</f>
        <v/>
      </c>
      <c r="AC9" s="32">
        <f>'P&amp;L'!AC11*Assumptions!$F$17/30</f>
        <v/>
      </c>
      <c r="AD9" s="32">
        <f>'P&amp;L'!AD11*Assumptions!$F$17/30</f>
        <v/>
      </c>
      <c r="AE9" s="32">
        <f>'P&amp;L'!AE11*Assumptions!$F$17/30</f>
        <v/>
      </c>
      <c r="AF9" s="32">
        <f>'P&amp;L'!AF11*Assumptions!$F$17/30</f>
        <v/>
      </c>
      <c r="AG9" s="32">
        <f>'P&amp;L'!AG11*Assumptions!$F$17/30</f>
        <v/>
      </c>
    </row>
    <row r="10">
      <c r="A10" s="31" t="inlineStr">
        <is>
          <t>Fixed assets at cost</t>
        </is>
      </c>
      <c r="B10" s="14" t="inlineStr"/>
      <c r="C10" s="17" t="n">
        <v>1380000</v>
      </c>
      <c r="D10" s="17" t="n">
        <v>1380000</v>
      </c>
      <c r="E10" s="17" t="n">
        <v>1730000</v>
      </c>
      <c r="F10" s="17" t="n">
        <v>1730000</v>
      </c>
      <c r="G10" s="17" t="n">
        <v>1730000</v>
      </c>
      <c r="H10" s="17" t="n">
        <v>1730000</v>
      </c>
      <c r="I10" s="17" t="n">
        <v>1730000</v>
      </c>
      <c r="J10" s="17" t="n">
        <v>2630000</v>
      </c>
      <c r="K10" s="17" t="n">
        <v>2630000</v>
      </c>
      <c r="L10" s="17" t="n">
        <v>2630000</v>
      </c>
      <c r="M10" s="17" t="n">
        <v>2630000</v>
      </c>
      <c r="N10" s="17" t="n">
        <v>2720000</v>
      </c>
      <c r="O10" s="17" t="n">
        <v>2720000</v>
      </c>
      <c r="P10" s="32">
        <f>O10-'Cash flow'!P15</f>
        <v/>
      </c>
      <c r="Q10" s="32">
        <f>P10-'Cash flow'!Q15</f>
        <v/>
      </c>
      <c r="R10" s="32">
        <f>Q10-'Cash flow'!R15</f>
        <v/>
      </c>
      <c r="S10" s="32">
        <f>R10-'Cash flow'!S15</f>
        <v/>
      </c>
      <c r="T10" s="32">
        <f>S10-'Cash flow'!T15</f>
        <v/>
      </c>
      <c r="U10" s="32">
        <f>T10-'Cash flow'!U15</f>
        <v/>
      </c>
      <c r="V10" s="32">
        <f>U10-'Cash flow'!V15</f>
        <v/>
      </c>
      <c r="W10" s="32">
        <f>V10-'Cash flow'!W15</f>
        <v/>
      </c>
      <c r="X10" s="32">
        <f>W10-'Cash flow'!X15</f>
        <v/>
      </c>
      <c r="Y10" s="32">
        <f>X10-'Cash flow'!Y15</f>
        <v/>
      </c>
      <c r="Z10" s="32">
        <f>Y10-'Cash flow'!Z15</f>
        <v/>
      </c>
      <c r="AA10" s="32">
        <f>Z10-'Cash flow'!AA15</f>
        <v/>
      </c>
      <c r="AB10" s="32">
        <f>AA10-'Cash flow'!AB15</f>
        <v/>
      </c>
      <c r="AC10" s="32">
        <f>AB10-'Cash flow'!AC15</f>
        <v/>
      </c>
      <c r="AD10" s="32">
        <f>AC10-'Cash flow'!AD15</f>
        <v/>
      </c>
      <c r="AE10" s="32">
        <f>AD10-'Cash flow'!AE15</f>
        <v/>
      </c>
      <c r="AF10" s="32">
        <f>AE10-'Cash flow'!AF15</f>
        <v/>
      </c>
      <c r="AG10" s="32">
        <f>AF10-'Cash flow'!AG15</f>
        <v/>
      </c>
    </row>
    <row r="11">
      <c r="A11" s="31" t="inlineStr">
        <is>
          <t>Accumulated depreciation</t>
        </is>
      </c>
      <c r="B11" s="14" t="inlineStr"/>
      <c r="C11" s="17" t="n">
        <v>-115000</v>
      </c>
      <c r="D11" s="17" t="n">
        <v>-145000</v>
      </c>
      <c r="E11" s="17" t="n">
        <v>-175000</v>
      </c>
      <c r="F11" s="17" t="n">
        <v>-210833.33</v>
      </c>
      <c r="G11" s="17" t="n">
        <v>-246666.66</v>
      </c>
      <c r="H11" s="17" t="n">
        <v>-282499.99</v>
      </c>
      <c r="I11" s="17" t="n">
        <v>-318333.32</v>
      </c>
      <c r="J11" s="17" t="n">
        <v>-354166.65</v>
      </c>
      <c r="K11" s="17" t="n">
        <v>-408749.98</v>
      </c>
      <c r="L11" s="17" t="n">
        <v>-463333.31</v>
      </c>
      <c r="M11" s="17" t="n">
        <v>-517916.64</v>
      </c>
      <c r="N11" s="17" t="n">
        <v>-572499.97</v>
      </c>
      <c r="O11" s="17" t="n">
        <v>-629583.3</v>
      </c>
      <c r="P11" s="32">
        <f>O11-'P&amp;L'!P23</f>
        <v/>
      </c>
      <c r="Q11" s="32">
        <f>P11-'P&amp;L'!Q23</f>
        <v/>
      </c>
      <c r="R11" s="32">
        <f>Q11-'P&amp;L'!R23</f>
        <v/>
      </c>
      <c r="S11" s="32">
        <f>R11-'P&amp;L'!S23</f>
        <v/>
      </c>
      <c r="T11" s="32">
        <f>S11-'P&amp;L'!T23</f>
        <v/>
      </c>
      <c r="U11" s="32">
        <f>T11-'P&amp;L'!U23</f>
        <v/>
      </c>
      <c r="V11" s="32">
        <f>U11-'P&amp;L'!V23</f>
        <v/>
      </c>
      <c r="W11" s="32">
        <f>V11-'P&amp;L'!W23</f>
        <v/>
      </c>
      <c r="X11" s="32">
        <f>W11-'P&amp;L'!X23</f>
        <v/>
      </c>
      <c r="Y11" s="32">
        <f>X11-'P&amp;L'!Y23</f>
        <v/>
      </c>
      <c r="Z11" s="32">
        <f>Y11-'P&amp;L'!Z23</f>
        <v/>
      </c>
      <c r="AA11" s="32">
        <f>Z11-'P&amp;L'!AA23</f>
        <v/>
      </c>
      <c r="AB11" s="32">
        <f>AA11-'P&amp;L'!AB23</f>
        <v/>
      </c>
      <c r="AC11" s="32">
        <f>AB11-'P&amp;L'!AC23</f>
        <v/>
      </c>
      <c r="AD11" s="32">
        <f>AC11-'P&amp;L'!AD23</f>
        <v/>
      </c>
      <c r="AE11" s="32">
        <f>AD11-'P&amp;L'!AE23</f>
        <v/>
      </c>
      <c r="AF11" s="32">
        <f>AE11-'P&amp;L'!AF23</f>
        <v/>
      </c>
      <c r="AG11" s="32">
        <f>AF11-'P&amp;L'!AG23</f>
        <v/>
      </c>
    </row>
    <row r="12">
      <c r="A12" s="33" t="inlineStr">
        <is>
          <t>Total assets</t>
        </is>
      </c>
      <c r="B12" s="14" t="inlineStr"/>
      <c r="C12" s="34">
        <f>SUM(C8:C11)</f>
        <v/>
      </c>
      <c r="D12" s="34">
        <f>SUM(D8:D11)</f>
        <v/>
      </c>
      <c r="E12" s="34">
        <f>SUM(E8:E11)</f>
        <v/>
      </c>
      <c r="F12" s="34">
        <f>SUM(F8:F11)</f>
        <v/>
      </c>
      <c r="G12" s="34">
        <f>SUM(G8:G11)</f>
        <v/>
      </c>
      <c r="H12" s="34">
        <f>SUM(H8:H11)</f>
        <v/>
      </c>
      <c r="I12" s="34">
        <f>SUM(I8:I11)</f>
        <v/>
      </c>
      <c r="J12" s="34">
        <f>SUM(J8:J11)</f>
        <v/>
      </c>
      <c r="K12" s="34">
        <f>SUM(K8:K11)</f>
        <v/>
      </c>
      <c r="L12" s="34">
        <f>SUM(L8:L11)</f>
        <v/>
      </c>
      <c r="M12" s="34">
        <f>SUM(M8:M11)</f>
        <v/>
      </c>
      <c r="N12" s="34">
        <f>SUM(N8:N11)</f>
        <v/>
      </c>
      <c r="O12" s="34">
        <f>SUM(O8:O11)</f>
        <v/>
      </c>
      <c r="P12" s="35">
        <f>SUM(P8:P11)</f>
        <v/>
      </c>
      <c r="Q12" s="35">
        <f>SUM(Q8:Q11)</f>
        <v/>
      </c>
      <c r="R12" s="35">
        <f>SUM(R8:R11)</f>
        <v/>
      </c>
      <c r="S12" s="35">
        <f>SUM(S8:S11)</f>
        <v/>
      </c>
      <c r="T12" s="35">
        <f>SUM(T8:T11)</f>
        <v/>
      </c>
      <c r="U12" s="35">
        <f>SUM(U8:U11)</f>
        <v/>
      </c>
      <c r="V12" s="35">
        <f>SUM(V8:V11)</f>
        <v/>
      </c>
      <c r="W12" s="35">
        <f>SUM(W8:W11)</f>
        <v/>
      </c>
      <c r="X12" s="35">
        <f>SUM(X8:X11)</f>
        <v/>
      </c>
      <c r="Y12" s="35">
        <f>SUM(Y8:Y11)</f>
        <v/>
      </c>
      <c r="Z12" s="35">
        <f>SUM(Z8:Z11)</f>
        <v/>
      </c>
      <c r="AA12" s="35">
        <f>SUM(AA8:AA11)</f>
        <v/>
      </c>
      <c r="AB12" s="35">
        <f>SUM(AB8:AB11)</f>
        <v/>
      </c>
      <c r="AC12" s="35">
        <f>SUM(AC8:AC11)</f>
        <v/>
      </c>
      <c r="AD12" s="35">
        <f>SUM(AD8:AD11)</f>
        <v/>
      </c>
      <c r="AE12" s="35">
        <f>SUM(AE8:AE11)</f>
        <v/>
      </c>
      <c r="AF12" s="35">
        <f>SUM(AF8:AF11)</f>
        <v/>
      </c>
      <c r="AG12" s="35">
        <f>SUM(AG8:AG11)</f>
        <v/>
      </c>
    </row>
    <row r="13">
      <c r="A13" s="29" t="inlineStr">
        <is>
          <t>Liabilities</t>
        </is>
      </c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</row>
    <row r="14">
      <c r="A14" s="31" t="inlineStr">
        <is>
          <t>Accounts payable</t>
        </is>
      </c>
      <c r="B14" s="14" t="inlineStr"/>
      <c r="C14" s="17" t="n">
        <v>503890.49</v>
      </c>
      <c r="D14" s="17" t="n">
        <v>595981.9</v>
      </c>
      <c r="E14" s="17" t="n">
        <v>625196.21</v>
      </c>
      <c r="F14" s="17" t="n">
        <v>607758.04</v>
      </c>
      <c r="G14" s="17" t="n">
        <v>747200.1899999999</v>
      </c>
      <c r="H14" s="17" t="n">
        <v>880467.53</v>
      </c>
      <c r="I14" s="17" t="n">
        <v>893331.61</v>
      </c>
      <c r="J14" s="17" t="n">
        <v>921980.09</v>
      </c>
      <c r="K14" s="17" t="n">
        <v>908726.6</v>
      </c>
      <c r="L14" s="17" t="n">
        <v>906294.99</v>
      </c>
      <c r="M14" s="17" t="n">
        <v>901267.33</v>
      </c>
      <c r="N14" s="17" t="n">
        <v>903682.2</v>
      </c>
      <c r="O14" s="17" t="n">
        <v>933726.62</v>
      </c>
      <c r="P14" s="32">
        <f>('P&amp;L'!P15+'P&amp;L'!P20)*Assumptions!$F$18/30</f>
        <v/>
      </c>
      <c r="Q14" s="32">
        <f>('P&amp;L'!Q15+'P&amp;L'!Q20)*Assumptions!$F$18/30</f>
        <v/>
      </c>
      <c r="R14" s="32">
        <f>('P&amp;L'!R15+'P&amp;L'!R20)*Assumptions!$F$18/30</f>
        <v/>
      </c>
      <c r="S14" s="32">
        <f>('P&amp;L'!S15+'P&amp;L'!S20)*Assumptions!$F$18/30</f>
        <v/>
      </c>
      <c r="T14" s="32">
        <f>('P&amp;L'!T15+'P&amp;L'!T20)*Assumptions!$F$18/30</f>
        <v/>
      </c>
      <c r="U14" s="32">
        <f>('P&amp;L'!U15+'P&amp;L'!U20)*Assumptions!$F$18/30</f>
        <v/>
      </c>
      <c r="V14" s="32">
        <f>('P&amp;L'!V15+'P&amp;L'!V20)*Assumptions!$F$18/30</f>
        <v/>
      </c>
      <c r="W14" s="32">
        <f>('P&amp;L'!W15+'P&amp;L'!W20)*Assumptions!$F$18/30</f>
        <v/>
      </c>
      <c r="X14" s="32">
        <f>('P&amp;L'!X15+'P&amp;L'!X20)*Assumptions!$F$18/30</f>
        <v/>
      </c>
      <c r="Y14" s="32">
        <f>('P&amp;L'!Y15+'P&amp;L'!Y20)*Assumptions!$F$18/30</f>
        <v/>
      </c>
      <c r="Z14" s="32">
        <f>('P&amp;L'!Z15+'P&amp;L'!Z20)*Assumptions!$F$18/30</f>
        <v/>
      </c>
      <c r="AA14" s="32">
        <f>('P&amp;L'!AA15+'P&amp;L'!AA20)*Assumptions!$F$18/30</f>
        <v/>
      </c>
      <c r="AB14" s="32">
        <f>('P&amp;L'!AB15+'P&amp;L'!AB20)*Assumptions!$F$18/30</f>
        <v/>
      </c>
      <c r="AC14" s="32">
        <f>('P&amp;L'!AC15+'P&amp;L'!AC20)*Assumptions!$F$18/30</f>
        <v/>
      </c>
      <c r="AD14" s="32">
        <f>('P&amp;L'!AD15+'P&amp;L'!AD20)*Assumptions!$F$18/30</f>
        <v/>
      </c>
      <c r="AE14" s="32">
        <f>('P&amp;L'!AE15+'P&amp;L'!AE20)*Assumptions!$F$18/30</f>
        <v/>
      </c>
      <c r="AF14" s="32">
        <f>('P&amp;L'!AF15+'P&amp;L'!AF20)*Assumptions!$F$18/30</f>
        <v/>
      </c>
      <c r="AG14" s="32">
        <f>('P&amp;L'!AG15+'P&amp;L'!AG20)*Assumptions!$F$18/30</f>
        <v/>
      </c>
    </row>
    <row r="15">
      <c r="A15" s="31" t="inlineStr">
        <is>
          <t>Payroll taxes and benefits payable</t>
        </is>
      </c>
      <c r="B15" s="14" t="inlineStr"/>
      <c r="C15" s="17" t="n">
        <v>327513.51</v>
      </c>
      <c r="D15" s="17" t="n">
        <v>315952.57</v>
      </c>
      <c r="E15" s="17" t="n">
        <v>311231.86</v>
      </c>
      <c r="F15" s="17" t="n">
        <v>315106.54</v>
      </c>
      <c r="G15" s="17" t="n">
        <v>369294.1</v>
      </c>
      <c r="H15" s="17" t="n">
        <v>356866.6</v>
      </c>
      <c r="I15" s="17" t="n">
        <v>380246.5</v>
      </c>
      <c r="J15" s="17" t="n">
        <v>390569.75</v>
      </c>
      <c r="K15" s="17" t="n">
        <v>390284.75</v>
      </c>
      <c r="L15" s="17" t="n">
        <v>390284.75</v>
      </c>
      <c r="M15" s="17" t="n">
        <v>400109.36</v>
      </c>
      <c r="N15" s="17" t="n">
        <v>399824.36</v>
      </c>
      <c r="O15" s="17" t="n">
        <v>399824.36</v>
      </c>
      <c r="P15" s="32">
        <f>'P&amp;L'!P19*Assumptions!$F$19</f>
        <v/>
      </c>
      <c r="Q15" s="32">
        <f>'P&amp;L'!Q19*Assumptions!$F$19</f>
        <v/>
      </c>
      <c r="R15" s="32">
        <f>'P&amp;L'!R19*Assumptions!$F$19</f>
        <v/>
      </c>
      <c r="S15" s="32">
        <f>'P&amp;L'!S19*Assumptions!$F$19</f>
        <v/>
      </c>
      <c r="T15" s="32">
        <f>'P&amp;L'!T19*Assumptions!$F$19</f>
        <v/>
      </c>
      <c r="U15" s="32">
        <f>'P&amp;L'!U19*Assumptions!$F$19</f>
        <v/>
      </c>
      <c r="V15" s="32">
        <f>'P&amp;L'!V19*Assumptions!$F$19</f>
        <v/>
      </c>
      <c r="W15" s="32">
        <f>'P&amp;L'!W19*Assumptions!$F$19</f>
        <v/>
      </c>
      <c r="X15" s="32">
        <f>'P&amp;L'!X19*Assumptions!$F$19</f>
        <v/>
      </c>
      <c r="Y15" s="32">
        <f>'P&amp;L'!Y19*Assumptions!$F$19</f>
        <v/>
      </c>
      <c r="Z15" s="32">
        <f>'P&amp;L'!Z19*Assumptions!$F$19</f>
        <v/>
      </c>
      <c r="AA15" s="32">
        <f>'P&amp;L'!AA19*Assumptions!$F$19</f>
        <v/>
      </c>
      <c r="AB15" s="32">
        <f>'P&amp;L'!AB19*Assumptions!$F$19</f>
        <v/>
      </c>
      <c r="AC15" s="32">
        <f>'P&amp;L'!AC19*Assumptions!$F$19</f>
        <v/>
      </c>
      <c r="AD15" s="32">
        <f>'P&amp;L'!AD19*Assumptions!$F$19</f>
        <v/>
      </c>
      <c r="AE15" s="32">
        <f>'P&amp;L'!AE19*Assumptions!$F$19</f>
        <v/>
      </c>
      <c r="AF15" s="32">
        <f>'P&amp;L'!AF19*Assumptions!$F$19</f>
        <v/>
      </c>
      <c r="AG15" s="32">
        <f>'P&amp;L'!AG19*Assumptions!$F$19</f>
        <v/>
      </c>
    </row>
    <row r="16">
      <c r="A16" s="33" t="inlineStr">
        <is>
          <t>Total liabilities</t>
        </is>
      </c>
      <c r="B16" s="14" t="inlineStr"/>
      <c r="C16" s="34">
        <f>C14+C15</f>
        <v/>
      </c>
      <c r="D16" s="34">
        <f>D14+D15</f>
        <v/>
      </c>
      <c r="E16" s="34">
        <f>E14+E15</f>
        <v/>
      </c>
      <c r="F16" s="34">
        <f>F14+F15</f>
        <v/>
      </c>
      <c r="G16" s="34">
        <f>G14+G15</f>
        <v/>
      </c>
      <c r="H16" s="34">
        <f>H14+H15</f>
        <v/>
      </c>
      <c r="I16" s="34">
        <f>I14+I15</f>
        <v/>
      </c>
      <c r="J16" s="34">
        <f>J14+J15</f>
        <v/>
      </c>
      <c r="K16" s="34">
        <f>K14+K15</f>
        <v/>
      </c>
      <c r="L16" s="34">
        <f>L14+L15</f>
        <v/>
      </c>
      <c r="M16" s="34">
        <f>M14+M15</f>
        <v/>
      </c>
      <c r="N16" s="34">
        <f>N14+N15</f>
        <v/>
      </c>
      <c r="O16" s="34">
        <f>O14+O15</f>
        <v/>
      </c>
      <c r="P16" s="35">
        <f>P14+P15</f>
        <v/>
      </c>
      <c r="Q16" s="35">
        <f>Q14+Q15</f>
        <v/>
      </c>
      <c r="R16" s="35">
        <f>R14+R15</f>
        <v/>
      </c>
      <c r="S16" s="35">
        <f>S14+S15</f>
        <v/>
      </c>
      <c r="T16" s="35">
        <f>T14+T15</f>
        <v/>
      </c>
      <c r="U16" s="35">
        <f>U14+U15</f>
        <v/>
      </c>
      <c r="V16" s="35">
        <f>V14+V15</f>
        <v/>
      </c>
      <c r="W16" s="35">
        <f>W14+W15</f>
        <v/>
      </c>
      <c r="X16" s="35">
        <f>X14+X15</f>
        <v/>
      </c>
      <c r="Y16" s="35">
        <f>Y14+Y15</f>
        <v/>
      </c>
      <c r="Z16" s="35">
        <f>Z14+Z15</f>
        <v/>
      </c>
      <c r="AA16" s="35">
        <f>AA14+AA15</f>
        <v/>
      </c>
      <c r="AB16" s="35">
        <f>AB14+AB15</f>
        <v/>
      </c>
      <c r="AC16" s="35">
        <f>AC14+AC15</f>
        <v/>
      </c>
      <c r="AD16" s="35">
        <f>AD14+AD15</f>
        <v/>
      </c>
      <c r="AE16" s="35">
        <f>AE14+AE15</f>
        <v/>
      </c>
      <c r="AF16" s="35">
        <f>AF14+AF15</f>
        <v/>
      </c>
      <c r="AG16" s="35">
        <f>AG14+AG15</f>
        <v/>
      </c>
    </row>
    <row r="17">
      <c r="A17" s="29" t="inlineStr">
        <is>
          <t>Equity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 t="n"/>
    </row>
    <row r="18">
      <c r="A18" s="31" t="inlineStr">
        <is>
          <t>Preferred stock and paid-in capital</t>
        </is>
      </c>
      <c r="B18" s="14" t="inlineStr"/>
      <c r="C18" s="17" t="n">
        <v>18000000</v>
      </c>
      <c r="D18" s="17" t="n">
        <v>18000000</v>
      </c>
      <c r="E18" s="17" t="n">
        <v>18000000</v>
      </c>
      <c r="F18" s="17" t="n">
        <v>18000000</v>
      </c>
      <c r="G18" s="17" t="n">
        <v>18000000</v>
      </c>
      <c r="H18" s="17" t="n">
        <v>18000000</v>
      </c>
      <c r="I18" s="17" t="n">
        <v>18000000</v>
      </c>
      <c r="J18" s="17" t="n">
        <v>18000000</v>
      </c>
      <c r="K18" s="17" t="n">
        <v>18000000</v>
      </c>
      <c r="L18" s="17" t="n">
        <v>18000000</v>
      </c>
      <c r="M18" s="17" t="n">
        <v>18000000</v>
      </c>
      <c r="N18" s="17" t="n">
        <v>18000000</v>
      </c>
      <c r="O18" s="17" t="n">
        <v>18000000</v>
      </c>
      <c r="P18" s="32">
        <f>O18+'Cash flow'!P17</f>
        <v/>
      </c>
      <c r="Q18" s="32">
        <f>P18+'Cash flow'!Q17</f>
        <v/>
      </c>
      <c r="R18" s="32">
        <f>Q18+'Cash flow'!R17</f>
        <v/>
      </c>
      <c r="S18" s="32">
        <f>R18+'Cash flow'!S17</f>
        <v/>
      </c>
      <c r="T18" s="32">
        <f>S18+'Cash flow'!T17</f>
        <v/>
      </c>
      <c r="U18" s="32">
        <f>T18+'Cash flow'!U17</f>
        <v/>
      </c>
      <c r="V18" s="32">
        <f>U18+'Cash flow'!V17</f>
        <v/>
      </c>
      <c r="W18" s="32">
        <f>V18+'Cash flow'!W17</f>
        <v/>
      </c>
      <c r="X18" s="32">
        <f>W18+'Cash flow'!X17</f>
        <v/>
      </c>
      <c r="Y18" s="32">
        <f>X18+'Cash flow'!Y17</f>
        <v/>
      </c>
      <c r="Z18" s="32">
        <f>Y18+'Cash flow'!Z17</f>
        <v/>
      </c>
      <c r="AA18" s="32">
        <f>Z18+'Cash flow'!AA17</f>
        <v/>
      </c>
      <c r="AB18" s="32">
        <f>AA18+'Cash flow'!AB17</f>
        <v/>
      </c>
      <c r="AC18" s="32">
        <f>AB18+'Cash flow'!AC17</f>
        <v/>
      </c>
      <c r="AD18" s="32">
        <f>AC18+'Cash flow'!AD17</f>
        <v/>
      </c>
      <c r="AE18" s="32">
        <f>AD18+'Cash flow'!AE17</f>
        <v/>
      </c>
      <c r="AF18" s="32">
        <f>AE18+'Cash flow'!AF17</f>
        <v/>
      </c>
      <c r="AG18" s="32">
        <f>AF18+'Cash flow'!AG17</f>
        <v/>
      </c>
    </row>
    <row r="19">
      <c r="A19" s="31" t="inlineStr">
        <is>
          <t>Retained earnings</t>
        </is>
      </c>
      <c r="B19" s="14" t="inlineStr"/>
      <c r="C19" s="17" t="n">
        <v>-1495937.1</v>
      </c>
      <c r="D19" s="17" t="n">
        <v>-1435560.57</v>
      </c>
      <c r="E19" s="17" t="n">
        <v>-1396833.61</v>
      </c>
      <c r="F19" s="17" t="n">
        <v>-1410913.05</v>
      </c>
      <c r="G19" s="17" t="n">
        <v>-1425055.71</v>
      </c>
      <c r="H19" s="17" t="n">
        <v>-1489265.42</v>
      </c>
      <c r="I19" s="17" t="n">
        <v>-1536659.14</v>
      </c>
      <c r="J19" s="17" t="n">
        <v>-1601959.85</v>
      </c>
      <c r="K19" s="17" t="n">
        <v>-1731978.37</v>
      </c>
      <c r="L19" s="17" t="n">
        <v>-1834593.11</v>
      </c>
      <c r="M19" s="17" t="n">
        <v>-1964867.94</v>
      </c>
      <c r="N19" s="17" t="n">
        <v>-2099517.51</v>
      </c>
      <c r="O19" s="17" t="n">
        <v>-2170090.62</v>
      </c>
      <c r="P19" s="32">
        <f>O19+'P&amp;L'!P26</f>
        <v/>
      </c>
      <c r="Q19" s="32">
        <f>P19+'P&amp;L'!Q26</f>
        <v/>
      </c>
      <c r="R19" s="32">
        <f>Q19+'P&amp;L'!R26</f>
        <v/>
      </c>
      <c r="S19" s="32">
        <f>R19+'P&amp;L'!S26</f>
        <v/>
      </c>
      <c r="T19" s="32">
        <f>S19+'P&amp;L'!T26</f>
        <v/>
      </c>
      <c r="U19" s="32">
        <f>T19+'P&amp;L'!U26</f>
        <v/>
      </c>
      <c r="V19" s="32">
        <f>U19+'P&amp;L'!V26</f>
        <v/>
      </c>
      <c r="W19" s="32">
        <f>V19+'P&amp;L'!W26</f>
        <v/>
      </c>
      <c r="X19" s="32">
        <f>W19+'P&amp;L'!X26</f>
        <v/>
      </c>
      <c r="Y19" s="32">
        <f>X19+'P&amp;L'!Y26</f>
        <v/>
      </c>
      <c r="Z19" s="32">
        <f>Y19+'P&amp;L'!Z26</f>
        <v/>
      </c>
      <c r="AA19" s="32">
        <f>Z19+'P&amp;L'!AA26</f>
        <v/>
      </c>
      <c r="AB19" s="32">
        <f>AA19+'P&amp;L'!AB26</f>
        <v/>
      </c>
      <c r="AC19" s="32">
        <f>AB19+'P&amp;L'!AC26</f>
        <v/>
      </c>
      <c r="AD19" s="32">
        <f>AC19+'P&amp;L'!AD26</f>
        <v/>
      </c>
      <c r="AE19" s="32">
        <f>AD19+'P&amp;L'!AE26</f>
        <v/>
      </c>
      <c r="AF19" s="32">
        <f>AE19+'P&amp;L'!AF26</f>
        <v/>
      </c>
      <c r="AG19" s="32">
        <f>AF19+'P&amp;L'!AG26</f>
        <v/>
      </c>
    </row>
    <row r="20">
      <c r="A20" s="33" t="inlineStr">
        <is>
          <t>Total equity</t>
        </is>
      </c>
      <c r="B20" s="14" t="inlineStr"/>
      <c r="C20" s="34">
        <f>C18+C19</f>
        <v/>
      </c>
      <c r="D20" s="34">
        <f>D18+D19</f>
        <v/>
      </c>
      <c r="E20" s="34">
        <f>E18+E19</f>
        <v/>
      </c>
      <c r="F20" s="34">
        <f>F18+F19</f>
        <v/>
      </c>
      <c r="G20" s="34">
        <f>G18+G19</f>
        <v/>
      </c>
      <c r="H20" s="34">
        <f>H18+H19</f>
        <v/>
      </c>
      <c r="I20" s="34">
        <f>I18+I19</f>
        <v/>
      </c>
      <c r="J20" s="34">
        <f>J18+J19</f>
        <v/>
      </c>
      <c r="K20" s="34">
        <f>K18+K19</f>
        <v/>
      </c>
      <c r="L20" s="34">
        <f>L18+L19</f>
        <v/>
      </c>
      <c r="M20" s="34">
        <f>M18+M19</f>
        <v/>
      </c>
      <c r="N20" s="34">
        <f>N18+N19</f>
        <v/>
      </c>
      <c r="O20" s="34">
        <f>O18+O19</f>
        <v/>
      </c>
      <c r="P20" s="35">
        <f>P18+P19</f>
        <v/>
      </c>
      <c r="Q20" s="35">
        <f>Q18+Q19</f>
        <v/>
      </c>
      <c r="R20" s="35">
        <f>R18+R19</f>
        <v/>
      </c>
      <c r="S20" s="35">
        <f>S18+S19</f>
        <v/>
      </c>
      <c r="T20" s="35">
        <f>T18+T19</f>
        <v/>
      </c>
      <c r="U20" s="35">
        <f>U18+U19</f>
        <v/>
      </c>
      <c r="V20" s="35">
        <f>V18+V19</f>
        <v/>
      </c>
      <c r="W20" s="35">
        <f>W18+W19</f>
        <v/>
      </c>
      <c r="X20" s="35">
        <f>X18+X19</f>
        <v/>
      </c>
      <c r="Y20" s="35">
        <f>Y18+Y19</f>
        <v/>
      </c>
      <c r="Z20" s="35">
        <f>Z18+Z19</f>
        <v/>
      </c>
      <c r="AA20" s="35">
        <f>AA18+AA19</f>
        <v/>
      </c>
      <c r="AB20" s="35">
        <f>AB18+AB19</f>
        <v/>
      </c>
      <c r="AC20" s="35">
        <f>AC18+AC19</f>
        <v/>
      </c>
      <c r="AD20" s="35">
        <f>AD18+AD19</f>
        <v/>
      </c>
      <c r="AE20" s="35">
        <f>AE18+AE19</f>
        <v/>
      </c>
      <c r="AF20" s="35">
        <f>AF18+AF19</f>
        <v/>
      </c>
      <c r="AG20" s="35">
        <f>AG18+AG19</f>
        <v/>
      </c>
    </row>
    <row r="21">
      <c r="A21" s="33" t="inlineStr">
        <is>
          <t>Total liabilities and equity</t>
        </is>
      </c>
      <c r="B21" s="14" t="inlineStr"/>
      <c r="C21" s="34">
        <f>C16+C20</f>
        <v/>
      </c>
      <c r="D21" s="34">
        <f>D16+D20</f>
        <v/>
      </c>
      <c r="E21" s="34">
        <f>E16+E20</f>
        <v/>
      </c>
      <c r="F21" s="34">
        <f>F16+F20</f>
        <v/>
      </c>
      <c r="G21" s="34">
        <f>G16+G20</f>
        <v/>
      </c>
      <c r="H21" s="34">
        <f>H16+H20</f>
        <v/>
      </c>
      <c r="I21" s="34">
        <f>I16+I20</f>
        <v/>
      </c>
      <c r="J21" s="34">
        <f>J16+J20</f>
        <v/>
      </c>
      <c r="K21" s="34">
        <f>K16+K20</f>
        <v/>
      </c>
      <c r="L21" s="34">
        <f>L16+L20</f>
        <v/>
      </c>
      <c r="M21" s="34">
        <f>M16+M20</f>
        <v/>
      </c>
      <c r="N21" s="34">
        <f>N16+N20</f>
        <v/>
      </c>
      <c r="O21" s="34">
        <f>O16+O20</f>
        <v/>
      </c>
      <c r="P21" s="35">
        <f>P16+P20</f>
        <v/>
      </c>
      <c r="Q21" s="35">
        <f>Q16+Q20</f>
        <v/>
      </c>
      <c r="R21" s="35">
        <f>R16+R20</f>
        <v/>
      </c>
      <c r="S21" s="35">
        <f>S16+S20</f>
        <v/>
      </c>
      <c r="T21" s="35">
        <f>T16+T20</f>
        <v/>
      </c>
      <c r="U21" s="35">
        <f>U16+U20</f>
        <v/>
      </c>
      <c r="V21" s="35">
        <f>V16+V20</f>
        <v/>
      </c>
      <c r="W21" s="35">
        <f>W16+W20</f>
        <v/>
      </c>
      <c r="X21" s="35">
        <f>X16+X20</f>
        <v/>
      </c>
      <c r="Y21" s="35">
        <f>Y16+Y20</f>
        <v/>
      </c>
      <c r="Z21" s="35">
        <f>Z16+Z20</f>
        <v/>
      </c>
      <c r="AA21" s="35">
        <f>AA16+AA20</f>
        <v/>
      </c>
      <c r="AB21" s="35">
        <f>AB16+AB20</f>
        <v/>
      </c>
      <c r="AC21" s="35">
        <f>AC16+AC20</f>
        <v/>
      </c>
      <c r="AD21" s="35">
        <f>AD16+AD20</f>
        <v/>
      </c>
      <c r="AE21" s="35">
        <f>AE16+AE20</f>
        <v/>
      </c>
      <c r="AF21" s="35">
        <f>AF16+AF20</f>
        <v/>
      </c>
      <c r="AG21" s="35">
        <f>AG16+AG20</f>
        <v/>
      </c>
    </row>
    <row r="22"/>
    <row r="23">
      <c r="A23" s="31" t="inlineStr">
        <is>
          <t>Check: assets - liabilities - equity (must be 0)</t>
        </is>
      </c>
      <c r="B23" s="14" t="inlineStr"/>
      <c r="C23" s="40">
        <f>ROUND(C12-C21,2)</f>
        <v/>
      </c>
      <c r="D23" s="40">
        <f>ROUND(D12-D21,2)</f>
        <v/>
      </c>
      <c r="E23" s="40">
        <f>ROUND(E12-E21,2)</f>
        <v/>
      </c>
      <c r="F23" s="40">
        <f>ROUND(F12-F21,2)</f>
        <v/>
      </c>
      <c r="G23" s="40">
        <f>ROUND(G12-G21,2)</f>
        <v/>
      </c>
      <c r="H23" s="40">
        <f>ROUND(H12-H21,2)</f>
        <v/>
      </c>
      <c r="I23" s="40">
        <f>ROUND(I12-I21,2)</f>
        <v/>
      </c>
      <c r="J23" s="40">
        <f>ROUND(J12-J21,2)</f>
        <v/>
      </c>
      <c r="K23" s="40">
        <f>ROUND(K12-K21,2)</f>
        <v/>
      </c>
      <c r="L23" s="40">
        <f>ROUND(L12-L21,2)</f>
        <v/>
      </c>
      <c r="M23" s="40">
        <f>ROUND(M12-M21,2)</f>
        <v/>
      </c>
      <c r="N23" s="40">
        <f>ROUND(N12-N21,2)</f>
        <v/>
      </c>
      <c r="O23" s="40">
        <f>ROUND(O12-O21,2)</f>
        <v/>
      </c>
      <c r="P23" s="41">
        <f>ROUND(P12-P21,2)</f>
        <v/>
      </c>
      <c r="Q23" s="41">
        <f>ROUND(Q12-Q21,2)</f>
        <v/>
      </c>
      <c r="R23" s="41">
        <f>ROUND(R12-R21,2)</f>
        <v/>
      </c>
      <c r="S23" s="41">
        <f>ROUND(S12-S21,2)</f>
        <v/>
      </c>
      <c r="T23" s="41">
        <f>ROUND(T12-T21,2)</f>
        <v/>
      </c>
      <c r="U23" s="41">
        <f>ROUND(U12-U21,2)</f>
        <v/>
      </c>
      <c r="V23" s="41">
        <f>ROUND(V12-V21,2)</f>
        <v/>
      </c>
      <c r="W23" s="41">
        <f>ROUND(W12-W21,2)</f>
        <v/>
      </c>
      <c r="X23" s="41">
        <f>ROUND(X12-X21,2)</f>
        <v/>
      </c>
      <c r="Y23" s="41">
        <f>ROUND(Y12-Y21,2)</f>
        <v/>
      </c>
      <c r="Z23" s="41">
        <f>ROUND(Z12-Z21,2)</f>
        <v/>
      </c>
      <c r="AA23" s="41">
        <f>ROUND(AA12-AA21,2)</f>
        <v/>
      </c>
      <c r="AB23" s="41">
        <f>ROUND(AB12-AB21,2)</f>
        <v/>
      </c>
      <c r="AC23" s="41">
        <f>ROUND(AC12-AC21,2)</f>
        <v/>
      </c>
      <c r="AD23" s="41">
        <f>ROUND(AD12-AD21,2)</f>
        <v/>
      </c>
      <c r="AE23" s="41">
        <f>ROUND(AE12-AE21,2)</f>
        <v/>
      </c>
      <c r="AF23" s="41">
        <f>ROUND(AF12-AF21,2)</f>
        <v/>
      </c>
      <c r="AG23" s="41">
        <f>ROUND(AG12-AG21,2)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>
      <c r="A1" s="8" t="inlineStr">
        <is>
          <t>Echo Labs, Inc.</t>
        </is>
      </c>
    </row>
    <row r="2">
      <c r="A2" s="9" t="inlineStr">
        <is>
          <t>Cash flow</t>
        </is>
      </c>
    </row>
    <row r="3">
      <c r="A3" s="10" t="inlineStr">
        <is>
          <t>Indirect method, linked to the P&amp;L and the balance sheet for every month (actuals included) · USD</t>
        </is>
      </c>
    </row>
    <row r="5">
      <c r="A5" s="13" t="inlineStr">
        <is>
          <t>USD</t>
        </is>
      </c>
      <c r="B5" s="26" t="n"/>
      <c r="C5" s="27" t="inlineStr">
        <is>
          <t>2025-09</t>
        </is>
      </c>
      <c r="D5" s="27" t="inlineStr">
        <is>
          <t>2025-10</t>
        </is>
      </c>
      <c r="E5" s="27" t="inlineStr">
        <is>
          <t>2025-11</t>
        </is>
      </c>
      <c r="F5" s="27" t="inlineStr">
        <is>
          <t>2025-12</t>
        </is>
      </c>
      <c r="G5" s="27" t="inlineStr">
        <is>
          <t>2026-01</t>
        </is>
      </c>
      <c r="H5" s="27" t="inlineStr">
        <is>
          <t>2026-02</t>
        </is>
      </c>
      <c r="I5" s="27" t="inlineStr">
        <is>
          <t>2026-03</t>
        </is>
      </c>
      <c r="J5" s="27" t="inlineStr">
        <is>
          <t>2026-04</t>
        </is>
      </c>
      <c r="K5" s="27" t="inlineStr">
        <is>
          <t>2026-05</t>
        </is>
      </c>
      <c r="L5" s="27" t="inlineStr">
        <is>
          <t>2026-06</t>
        </is>
      </c>
      <c r="M5" s="27" t="inlineStr">
        <is>
          <t>2026-07</t>
        </is>
      </c>
      <c r="N5" s="27" t="inlineStr">
        <is>
          <t>2026-08</t>
        </is>
      </c>
      <c r="O5" s="27" t="inlineStr">
        <is>
          <t>2026-09</t>
        </is>
      </c>
      <c r="P5" s="27" t="inlineStr">
        <is>
          <t>2026-10</t>
        </is>
      </c>
      <c r="Q5" s="27" t="inlineStr">
        <is>
          <t>2026-11</t>
        </is>
      </c>
      <c r="R5" s="27" t="inlineStr">
        <is>
          <t>2026-12</t>
        </is>
      </c>
      <c r="S5" s="27" t="inlineStr">
        <is>
          <t>2027-01</t>
        </is>
      </c>
      <c r="T5" s="27" t="inlineStr">
        <is>
          <t>2027-02</t>
        </is>
      </c>
      <c r="U5" s="27" t="inlineStr">
        <is>
          <t>2027-03</t>
        </is>
      </c>
      <c r="V5" s="27" t="inlineStr">
        <is>
          <t>2027-04</t>
        </is>
      </c>
      <c r="W5" s="27" t="inlineStr">
        <is>
          <t>2027-05</t>
        </is>
      </c>
      <c r="X5" s="27" t="inlineStr">
        <is>
          <t>2027-06</t>
        </is>
      </c>
      <c r="Y5" s="27" t="inlineStr">
        <is>
          <t>2027-07</t>
        </is>
      </c>
      <c r="Z5" s="27" t="inlineStr">
        <is>
          <t>2027-08</t>
        </is>
      </c>
      <c r="AA5" s="27" t="inlineStr">
        <is>
          <t>2027-09</t>
        </is>
      </c>
      <c r="AB5" s="27" t="inlineStr">
        <is>
          <t>2027-10</t>
        </is>
      </c>
      <c r="AC5" s="27" t="inlineStr">
        <is>
          <t>2027-11</t>
        </is>
      </c>
      <c r="AD5" s="27" t="inlineStr">
        <is>
          <t>2027-12</t>
        </is>
      </c>
      <c r="AE5" s="27" t="inlineStr">
        <is>
          <t>2028-01</t>
        </is>
      </c>
      <c r="AF5" s="27" t="inlineStr">
        <is>
          <t>2028-02</t>
        </is>
      </c>
      <c r="AG5" s="27" t="inlineStr">
        <is>
          <t>2028-03</t>
        </is>
      </c>
    </row>
    <row r="6">
      <c r="C6" s="28" t="inlineStr">
        <is>
          <t>Opening</t>
        </is>
      </c>
      <c r="D6" s="28" t="inlineStr">
        <is>
          <t>Actual</t>
        </is>
      </c>
      <c r="E6" s="28" t="inlineStr">
        <is>
          <t>Actual</t>
        </is>
      </c>
      <c r="F6" s="28" t="inlineStr">
        <is>
          <t>Actual</t>
        </is>
      </c>
      <c r="G6" s="28" t="inlineStr">
        <is>
          <t>Actual</t>
        </is>
      </c>
      <c r="H6" s="28" t="inlineStr">
        <is>
          <t>Actual</t>
        </is>
      </c>
      <c r="I6" s="28" t="inlineStr">
        <is>
          <t>Actual</t>
        </is>
      </c>
      <c r="J6" s="28" t="inlineStr">
        <is>
          <t>Actual</t>
        </is>
      </c>
      <c r="K6" s="28" t="inlineStr">
        <is>
          <t>Actual</t>
        </is>
      </c>
      <c r="L6" s="28" t="inlineStr">
        <is>
          <t>Actual</t>
        </is>
      </c>
      <c r="M6" s="28" t="inlineStr">
        <is>
          <t>Actual</t>
        </is>
      </c>
      <c r="N6" s="28" t="inlineStr">
        <is>
          <t>Actual</t>
        </is>
      </c>
      <c r="O6" s="28" t="inlineStr">
        <is>
          <t>Actual</t>
        </is>
      </c>
      <c r="P6" s="28" t="inlineStr">
        <is>
          <t>Forecast</t>
        </is>
      </c>
      <c r="Q6" s="28" t="inlineStr">
        <is>
          <t>Forecast</t>
        </is>
      </c>
      <c r="R6" s="28" t="inlineStr">
        <is>
          <t>Forecast</t>
        </is>
      </c>
      <c r="S6" s="28" t="inlineStr">
        <is>
          <t>Forecast</t>
        </is>
      </c>
      <c r="T6" s="28" t="inlineStr">
        <is>
          <t>Forecast</t>
        </is>
      </c>
      <c r="U6" s="28" t="inlineStr">
        <is>
          <t>Forecast</t>
        </is>
      </c>
      <c r="V6" s="28" t="inlineStr">
        <is>
          <t>Forecast</t>
        </is>
      </c>
      <c r="W6" s="28" t="inlineStr">
        <is>
          <t>Forecast</t>
        </is>
      </c>
      <c r="X6" s="28" t="inlineStr">
        <is>
          <t>Forecast</t>
        </is>
      </c>
      <c r="Y6" s="28" t="inlineStr">
        <is>
          <t>Forecast</t>
        </is>
      </c>
      <c r="Z6" s="28" t="inlineStr">
        <is>
          <t>Forecast</t>
        </is>
      </c>
      <c r="AA6" s="28" t="inlineStr">
        <is>
          <t>Forecast</t>
        </is>
      </c>
      <c r="AB6" s="28" t="inlineStr">
        <is>
          <t>Forecast</t>
        </is>
      </c>
      <c r="AC6" s="28" t="inlineStr">
        <is>
          <t>Forecast</t>
        </is>
      </c>
      <c r="AD6" s="28" t="inlineStr">
        <is>
          <t>Forecast</t>
        </is>
      </c>
      <c r="AE6" s="28" t="inlineStr">
        <is>
          <t>Forecast</t>
        </is>
      </c>
      <c r="AF6" s="28" t="inlineStr">
        <is>
          <t>Forecast</t>
        </is>
      </c>
      <c r="AG6" s="28" t="inlineStr">
        <is>
          <t>Forecast</t>
        </is>
      </c>
    </row>
    <row r="7">
      <c r="A7" s="29" t="inlineStr">
        <is>
          <t>Operating activities</t>
        </is>
      </c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</row>
    <row r="8">
      <c r="A8" s="31" t="inlineStr">
        <is>
          <t>Net income</t>
        </is>
      </c>
      <c r="B8" s="14" t="inlineStr"/>
      <c r="D8" s="42">
        <f>'P&amp;L'!D26</f>
        <v/>
      </c>
      <c r="E8" s="42">
        <f>'P&amp;L'!E26</f>
        <v/>
      </c>
      <c r="F8" s="42">
        <f>'P&amp;L'!F26</f>
        <v/>
      </c>
      <c r="G8" s="42">
        <f>'P&amp;L'!G26</f>
        <v/>
      </c>
      <c r="H8" s="42">
        <f>'P&amp;L'!H26</f>
        <v/>
      </c>
      <c r="I8" s="42">
        <f>'P&amp;L'!I26</f>
        <v/>
      </c>
      <c r="J8" s="42">
        <f>'P&amp;L'!J26</f>
        <v/>
      </c>
      <c r="K8" s="42">
        <f>'P&amp;L'!K26</f>
        <v/>
      </c>
      <c r="L8" s="42">
        <f>'P&amp;L'!L26</f>
        <v/>
      </c>
      <c r="M8" s="42">
        <f>'P&amp;L'!M26</f>
        <v/>
      </c>
      <c r="N8" s="42">
        <f>'P&amp;L'!N26</f>
        <v/>
      </c>
      <c r="O8" s="42">
        <f>'P&amp;L'!O26</f>
        <v/>
      </c>
      <c r="P8" s="32">
        <f>'P&amp;L'!P26</f>
        <v/>
      </c>
      <c r="Q8" s="32">
        <f>'P&amp;L'!Q26</f>
        <v/>
      </c>
      <c r="R8" s="32">
        <f>'P&amp;L'!R26</f>
        <v/>
      </c>
      <c r="S8" s="32">
        <f>'P&amp;L'!S26</f>
        <v/>
      </c>
      <c r="T8" s="32">
        <f>'P&amp;L'!T26</f>
        <v/>
      </c>
      <c r="U8" s="32">
        <f>'P&amp;L'!U26</f>
        <v/>
      </c>
      <c r="V8" s="32">
        <f>'P&amp;L'!V26</f>
        <v/>
      </c>
      <c r="W8" s="32">
        <f>'P&amp;L'!W26</f>
        <v/>
      </c>
      <c r="X8" s="32">
        <f>'P&amp;L'!X26</f>
        <v/>
      </c>
      <c r="Y8" s="32">
        <f>'P&amp;L'!Y26</f>
        <v/>
      </c>
      <c r="Z8" s="32">
        <f>'P&amp;L'!Z26</f>
        <v/>
      </c>
      <c r="AA8" s="32">
        <f>'P&amp;L'!AA26</f>
        <v/>
      </c>
      <c r="AB8" s="32">
        <f>'P&amp;L'!AB26</f>
        <v/>
      </c>
      <c r="AC8" s="32">
        <f>'P&amp;L'!AC26</f>
        <v/>
      </c>
      <c r="AD8" s="32">
        <f>'P&amp;L'!AD26</f>
        <v/>
      </c>
      <c r="AE8" s="32">
        <f>'P&amp;L'!AE26</f>
        <v/>
      </c>
      <c r="AF8" s="32">
        <f>'P&amp;L'!AF26</f>
        <v/>
      </c>
      <c r="AG8" s="32">
        <f>'P&amp;L'!AG26</f>
        <v/>
      </c>
    </row>
    <row r="9">
      <c r="A9" s="31" t="inlineStr">
        <is>
          <t>Depreciation (non-cash, added back)</t>
        </is>
      </c>
      <c r="B9" s="14" t="inlineStr"/>
      <c r="D9" s="42">
        <f>'P&amp;L'!D23</f>
        <v/>
      </c>
      <c r="E9" s="42">
        <f>'P&amp;L'!E23</f>
        <v/>
      </c>
      <c r="F9" s="42">
        <f>'P&amp;L'!F23</f>
        <v/>
      </c>
      <c r="G9" s="42">
        <f>'P&amp;L'!G23</f>
        <v/>
      </c>
      <c r="H9" s="42">
        <f>'P&amp;L'!H23</f>
        <v/>
      </c>
      <c r="I9" s="42">
        <f>'P&amp;L'!I23</f>
        <v/>
      </c>
      <c r="J9" s="42">
        <f>'P&amp;L'!J23</f>
        <v/>
      </c>
      <c r="K9" s="42">
        <f>'P&amp;L'!K23</f>
        <v/>
      </c>
      <c r="L9" s="42">
        <f>'P&amp;L'!L23</f>
        <v/>
      </c>
      <c r="M9" s="42">
        <f>'P&amp;L'!M23</f>
        <v/>
      </c>
      <c r="N9" s="42">
        <f>'P&amp;L'!N23</f>
        <v/>
      </c>
      <c r="O9" s="42">
        <f>'P&amp;L'!O23</f>
        <v/>
      </c>
      <c r="P9" s="32">
        <f>'P&amp;L'!P23</f>
        <v/>
      </c>
      <c r="Q9" s="32">
        <f>'P&amp;L'!Q23</f>
        <v/>
      </c>
      <c r="R9" s="32">
        <f>'P&amp;L'!R23</f>
        <v/>
      </c>
      <c r="S9" s="32">
        <f>'P&amp;L'!S23</f>
        <v/>
      </c>
      <c r="T9" s="32">
        <f>'P&amp;L'!T23</f>
        <v/>
      </c>
      <c r="U9" s="32">
        <f>'P&amp;L'!U23</f>
        <v/>
      </c>
      <c r="V9" s="32">
        <f>'P&amp;L'!V23</f>
        <v/>
      </c>
      <c r="W9" s="32">
        <f>'P&amp;L'!W23</f>
        <v/>
      </c>
      <c r="X9" s="32">
        <f>'P&amp;L'!X23</f>
        <v/>
      </c>
      <c r="Y9" s="32">
        <f>'P&amp;L'!Y23</f>
        <v/>
      </c>
      <c r="Z9" s="32">
        <f>'P&amp;L'!Z23</f>
        <v/>
      </c>
      <c r="AA9" s="32">
        <f>'P&amp;L'!AA23</f>
        <v/>
      </c>
      <c r="AB9" s="32">
        <f>'P&amp;L'!AB23</f>
        <v/>
      </c>
      <c r="AC9" s="32">
        <f>'P&amp;L'!AC23</f>
        <v/>
      </c>
      <c r="AD9" s="32">
        <f>'P&amp;L'!AD23</f>
        <v/>
      </c>
      <c r="AE9" s="32">
        <f>'P&amp;L'!AE23</f>
        <v/>
      </c>
      <c r="AF9" s="32">
        <f>'P&amp;L'!AF23</f>
        <v/>
      </c>
      <c r="AG9" s="32">
        <f>'P&amp;L'!AG23</f>
        <v/>
      </c>
    </row>
    <row r="10">
      <c r="A10" s="31" t="inlineStr">
        <is>
          <t>Change in accounts receivable</t>
        </is>
      </c>
      <c r="B10" s="14" t="inlineStr"/>
      <c r="D10" s="42">
        <f>'Balance sheet'!C9-'Balance sheet'!D9</f>
        <v/>
      </c>
      <c r="E10" s="42">
        <f>'Balance sheet'!D9-'Balance sheet'!E9</f>
        <v/>
      </c>
      <c r="F10" s="42">
        <f>'Balance sheet'!E9-'Balance sheet'!F9</f>
        <v/>
      </c>
      <c r="G10" s="42">
        <f>'Balance sheet'!F9-'Balance sheet'!G9</f>
        <v/>
      </c>
      <c r="H10" s="42">
        <f>'Balance sheet'!G9-'Balance sheet'!H9</f>
        <v/>
      </c>
      <c r="I10" s="42">
        <f>'Balance sheet'!H9-'Balance sheet'!I9</f>
        <v/>
      </c>
      <c r="J10" s="42">
        <f>'Balance sheet'!I9-'Balance sheet'!J9</f>
        <v/>
      </c>
      <c r="K10" s="42">
        <f>'Balance sheet'!J9-'Balance sheet'!K9</f>
        <v/>
      </c>
      <c r="L10" s="42">
        <f>'Balance sheet'!K9-'Balance sheet'!L9</f>
        <v/>
      </c>
      <c r="M10" s="42">
        <f>'Balance sheet'!L9-'Balance sheet'!M9</f>
        <v/>
      </c>
      <c r="N10" s="42">
        <f>'Balance sheet'!M9-'Balance sheet'!N9</f>
        <v/>
      </c>
      <c r="O10" s="42">
        <f>'Balance sheet'!N9-'Balance sheet'!O9</f>
        <v/>
      </c>
      <c r="P10" s="32">
        <f>'Balance sheet'!O9-'Balance sheet'!P9</f>
        <v/>
      </c>
      <c r="Q10" s="32">
        <f>'Balance sheet'!P9-'Balance sheet'!Q9</f>
        <v/>
      </c>
      <c r="R10" s="32">
        <f>'Balance sheet'!Q9-'Balance sheet'!R9</f>
        <v/>
      </c>
      <c r="S10" s="32">
        <f>'Balance sheet'!R9-'Balance sheet'!S9</f>
        <v/>
      </c>
      <c r="T10" s="32">
        <f>'Balance sheet'!S9-'Balance sheet'!T9</f>
        <v/>
      </c>
      <c r="U10" s="32">
        <f>'Balance sheet'!T9-'Balance sheet'!U9</f>
        <v/>
      </c>
      <c r="V10" s="32">
        <f>'Balance sheet'!U9-'Balance sheet'!V9</f>
        <v/>
      </c>
      <c r="W10" s="32">
        <f>'Balance sheet'!V9-'Balance sheet'!W9</f>
        <v/>
      </c>
      <c r="X10" s="32">
        <f>'Balance sheet'!W9-'Balance sheet'!X9</f>
        <v/>
      </c>
      <c r="Y10" s="32">
        <f>'Balance sheet'!X9-'Balance sheet'!Y9</f>
        <v/>
      </c>
      <c r="Z10" s="32">
        <f>'Balance sheet'!Y9-'Balance sheet'!Z9</f>
        <v/>
      </c>
      <c r="AA10" s="32">
        <f>'Balance sheet'!Z9-'Balance sheet'!AA9</f>
        <v/>
      </c>
      <c r="AB10" s="32">
        <f>'Balance sheet'!AA9-'Balance sheet'!AB9</f>
        <v/>
      </c>
      <c r="AC10" s="32">
        <f>'Balance sheet'!AB9-'Balance sheet'!AC9</f>
        <v/>
      </c>
      <c r="AD10" s="32">
        <f>'Balance sheet'!AC9-'Balance sheet'!AD9</f>
        <v/>
      </c>
      <c r="AE10" s="32">
        <f>'Balance sheet'!AD9-'Balance sheet'!AE9</f>
        <v/>
      </c>
      <c r="AF10" s="32">
        <f>'Balance sheet'!AE9-'Balance sheet'!AF9</f>
        <v/>
      </c>
      <c r="AG10" s="32">
        <f>'Balance sheet'!AF9-'Balance sheet'!AG9</f>
        <v/>
      </c>
    </row>
    <row r="11">
      <c r="A11" s="31" t="inlineStr">
        <is>
          <t>Change in accounts payable</t>
        </is>
      </c>
      <c r="B11" s="14" t="inlineStr"/>
      <c r="D11" s="42">
        <f>'Balance sheet'!D14-'Balance sheet'!C14</f>
        <v/>
      </c>
      <c r="E11" s="42">
        <f>'Balance sheet'!E14-'Balance sheet'!D14</f>
        <v/>
      </c>
      <c r="F11" s="42">
        <f>'Balance sheet'!F14-'Balance sheet'!E14</f>
        <v/>
      </c>
      <c r="G11" s="42">
        <f>'Balance sheet'!G14-'Balance sheet'!F14</f>
        <v/>
      </c>
      <c r="H11" s="42">
        <f>'Balance sheet'!H14-'Balance sheet'!G14</f>
        <v/>
      </c>
      <c r="I11" s="42">
        <f>'Balance sheet'!I14-'Balance sheet'!H14</f>
        <v/>
      </c>
      <c r="J11" s="42">
        <f>'Balance sheet'!J14-'Balance sheet'!I14</f>
        <v/>
      </c>
      <c r="K11" s="42">
        <f>'Balance sheet'!K14-'Balance sheet'!J14</f>
        <v/>
      </c>
      <c r="L11" s="42">
        <f>'Balance sheet'!L14-'Balance sheet'!K14</f>
        <v/>
      </c>
      <c r="M11" s="42">
        <f>'Balance sheet'!M14-'Balance sheet'!L14</f>
        <v/>
      </c>
      <c r="N11" s="42">
        <f>'Balance sheet'!N14-'Balance sheet'!M14</f>
        <v/>
      </c>
      <c r="O11" s="42">
        <f>'Balance sheet'!O14-'Balance sheet'!N14</f>
        <v/>
      </c>
      <c r="P11" s="32">
        <f>'Balance sheet'!P14-'Balance sheet'!O14</f>
        <v/>
      </c>
      <c r="Q11" s="32">
        <f>'Balance sheet'!Q14-'Balance sheet'!P14</f>
        <v/>
      </c>
      <c r="R11" s="32">
        <f>'Balance sheet'!R14-'Balance sheet'!Q14</f>
        <v/>
      </c>
      <c r="S11" s="32">
        <f>'Balance sheet'!S14-'Balance sheet'!R14</f>
        <v/>
      </c>
      <c r="T11" s="32">
        <f>'Balance sheet'!T14-'Balance sheet'!S14</f>
        <v/>
      </c>
      <c r="U11" s="32">
        <f>'Balance sheet'!U14-'Balance sheet'!T14</f>
        <v/>
      </c>
      <c r="V11" s="32">
        <f>'Balance sheet'!V14-'Balance sheet'!U14</f>
        <v/>
      </c>
      <c r="W11" s="32">
        <f>'Balance sheet'!W14-'Balance sheet'!V14</f>
        <v/>
      </c>
      <c r="X11" s="32">
        <f>'Balance sheet'!X14-'Balance sheet'!W14</f>
        <v/>
      </c>
      <c r="Y11" s="32">
        <f>'Balance sheet'!Y14-'Balance sheet'!X14</f>
        <v/>
      </c>
      <c r="Z11" s="32">
        <f>'Balance sheet'!Z14-'Balance sheet'!Y14</f>
        <v/>
      </c>
      <c r="AA11" s="32">
        <f>'Balance sheet'!AA14-'Balance sheet'!Z14</f>
        <v/>
      </c>
      <c r="AB11" s="32">
        <f>'Balance sheet'!AB14-'Balance sheet'!AA14</f>
        <v/>
      </c>
      <c r="AC11" s="32">
        <f>'Balance sheet'!AC14-'Balance sheet'!AB14</f>
        <v/>
      </c>
      <c r="AD11" s="32">
        <f>'Balance sheet'!AD14-'Balance sheet'!AC14</f>
        <v/>
      </c>
      <c r="AE11" s="32">
        <f>'Balance sheet'!AE14-'Balance sheet'!AD14</f>
        <v/>
      </c>
      <c r="AF11" s="32">
        <f>'Balance sheet'!AF14-'Balance sheet'!AE14</f>
        <v/>
      </c>
      <c r="AG11" s="32">
        <f>'Balance sheet'!AG14-'Balance sheet'!AF14</f>
        <v/>
      </c>
    </row>
    <row r="12">
      <c r="A12" s="31" t="inlineStr">
        <is>
          <t>Change in payroll liabilities</t>
        </is>
      </c>
      <c r="B12" s="14" t="inlineStr"/>
      <c r="D12" s="42">
        <f>'Balance sheet'!D15-'Balance sheet'!C15</f>
        <v/>
      </c>
      <c r="E12" s="42">
        <f>'Balance sheet'!E15-'Balance sheet'!D15</f>
        <v/>
      </c>
      <c r="F12" s="42">
        <f>'Balance sheet'!F15-'Balance sheet'!E15</f>
        <v/>
      </c>
      <c r="G12" s="42">
        <f>'Balance sheet'!G15-'Balance sheet'!F15</f>
        <v/>
      </c>
      <c r="H12" s="42">
        <f>'Balance sheet'!H15-'Balance sheet'!G15</f>
        <v/>
      </c>
      <c r="I12" s="42">
        <f>'Balance sheet'!I15-'Balance sheet'!H15</f>
        <v/>
      </c>
      <c r="J12" s="42">
        <f>'Balance sheet'!J15-'Balance sheet'!I15</f>
        <v/>
      </c>
      <c r="K12" s="42">
        <f>'Balance sheet'!K15-'Balance sheet'!J15</f>
        <v/>
      </c>
      <c r="L12" s="42">
        <f>'Balance sheet'!L15-'Balance sheet'!K15</f>
        <v/>
      </c>
      <c r="M12" s="42">
        <f>'Balance sheet'!M15-'Balance sheet'!L15</f>
        <v/>
      </c>
      <c r="N12" s="42">
        <f>'Balance sheet'!N15-'Balance sheet'!M15</f>
        <v/>
      </c>
      <c r="O12" s="42">
        <f>'Balance sheet'!O15-'Balance sheet'!N15</f>
        <v/>
      </c>
      <c r="P12" s="32">
        <f>'Balance sheet'!P15-'Balance sheet'!O15</f>
        <v/>
      </c>
      <c r="Q12" s="32">
        <f>'Balance sheet'!Q15-'Balance sheet'!P15</f>
        <v/>
      </c>
      <c r="R12" s="32">
        <f>'Balance sheet'!R15-'Balance sheet'!Q15</f>
        <v/>
      </c>
      <c r="S12" s="32">
        <f>'Balance sheet'!S15-'Balance sheet'!R15</f>
        <v/>
      </c>
      <c r="T12" s="32">
        <f>'Balance sheet'!T15-'Balance sheet'!S15</f>
        <v/>
      </c>
      <c r="U12" s="32">
        <f>'Balance sheet'!U15-'Balance sheet'!T15</f>
        <v/>
      </c>
      <c r="V12" s="32">
        <f>'Balance sheet'!V15-'Balance sheet'!U15</f>
        <v/>
      </c>
      <c r="W12" s="32">
        <f>'Balance sheet'!W15-'Balance sheet'!V15</f>
        <v/>
      </c>
      <c r="X12" s="32">
        <f>'Balance sheet'!X15-'Balance sheet'!W15</f>
        <v/>
      </c>
      <c r="Y12" s="32">
        <f>'Balance sheet'!Y15-'Balance sheet'!X15</f>
        <v/>
      </c>
      <c r="Z12" s="32">
        <f>'Balance sheet'!Z15-'Balance sheet'!Y15</f>
        <v/>
      </c>
      <c r="AA12" s="32">
        <f>'Balance sheet'!AA15-'Balance sheet'!Z15</f>
        <v/>
      </c>
      <c r="AB12" s="32">
        <f>'Balance sheet'!AB15-'Balance sheet'!AA15</f>
        <v/>
      </c>
      <c r="AC12" s="32">
        <f>'Balance sheet'!AC15-'Balance sheet'!AB15</f>
        <v/>
      </c>
      <c r="AD12" s="32">
        <f>'Balance sheet'!AD15-'Balance sheet'!AC15</f>
        <v/>
      </c>
      <c r="AE12" s="32">
        <f>'Balance sheet'!AE15-'Balance sheet'!AD15</f>
        <v/>
      </c>
      <c r="AF12" s="32">
        <f>'Balance sheet'!AF15-'Balance sheet'!AE15</f>
        <v/>
      </c>
      <c r="AG12" s="32">
        <f>'Balance sheet'!AG15-'Balance sheet'!AF15</f>
        <v/>
      </c>
    </row>
    <row r="13">
      <c r="A13" s="33" t="inlineStr">
        <is>
          <t>Cash from operations</t>
        </is>
      </c>
      <c r="B13" s="14" t="inlineStr"/>
      <c r="D13" s="34">
        <f>SUM(D8:D12)</f>
        <v/>
      </c>
      <c r="E13" s="34">
        <f>SUM(E8:E12)</f>
        <v/>
      </c>
      <c r="F13" s="34">
        <f>SUM(F8:F12)</f>
        <v/>
      </c>
      <c r="G13" s="34">
        <f>SUM(G8:G12)</f>
        <v/>
      </c>
      <c r="H13" s="34">
        <f>SUM(H8:H12)</f>
        <v/>
      </c>
      <c r="I13" s="34">
        <f>SUM(I8:I12)</f>
        <v/>
      </c>
      <c r="J13" s="34">
        <f>SUM(J8:J12)</f>
        <v/>
      </c>
      <c r="K13" s="34">
        <f>SUM(K8:K12)</f>
        <v/>
      </c>
      <c r="L13" s="34">
        <f>SUM(L8:L12)</f>
        <v/>
      </c>
      <c r="M13" s="34">
        <f>SUM(M8:M12)</f>
        <v/>
      </c>
      <c r="N13" s="34">
        <f>SUM(N8:N12)</f>
        <v/>
      </c>
      <c r="O13" s="34">
        <f>SUM(O8:O12)</f>
        <v/>
      </c>
      <c r="P13" s="35">
        <f>SUM(P8:P12)</f>
        <v/>
      </c>
      <c r="Q13" s="35">
        <f>SUM(Q8:Q12)</f>
        <v/>
      </c>
      <c r="R13" s="35">
        <f>SUM(R8:R12)</f>
        <v/>
      </c>
      <c r="S13" s="35">
        <f>SUM(S8:S12)</f>
        <v/>
      </c>
      <c r="T13" s="35">
        <f>SUM(T8:T12)</f>
        <v/>
      </c>
      <c r="U13" s="35">
        <f>SUM(U8:U12)</f>
        <v/>
      </c>
      <c r="V13" s="35">
        <f>SUM(V8:V12)</f>
        <v/>
      </c>
      <c r="W13" s="35">
        <f>SUM(W8:W12)</f>
        <v/>
      </c>
      <c r="X13" s="35">
        <f>SUM(X8:X12)</f>
        <v/>
      </c>
      <c r="Y13" s="35">
        <f>SUM(Y8:Y12)</f>
        <v/>
      </c>
      <c r="Z13" s="35">
        <f>SUM(Z8:Z12)</f>
        <v/>
      </c>
      <c r="AA13" s="35">
        <f>SUM(AA8:AA12)</f>
        <v/>
      </c>
      <c r="AB13" s="35">
        <f>SUM(AB8:AB12)</f>
        <v/>
      </c>
      <c r="AC13" s="35">
        <f>SUM(AC8:AC12)</f>
        <v/>
      </c>
      <c r="AD13" s="35">
        <f>SUM(AD8:AD12)</f>
        <v/>
      </c>
      <c r="AE13" s="35">
        <f>SUM(AE8:AE12)</f>
        <v/>
      </c>
      <c r="AF13" s="35">
        <f>SUM(AF8:AF12)</f>
        <v/>
      </c>
      <c r="AG13" s="35">
        <f>SUM(AG8:AG12)</f>
        <v/>
      </c>
    </row>
    <row r="14">
      <c r="A14" s="29" t="inlineStr">
        <is>
          <t>Investing activities</t>
        </is>
      </c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0" t="n"/>
      <c r="AE14" s="30" t="n"/>
      <c r="AF14" s="30" t="n"/>
      <c r="AG14" s="30" t="n"/>
    </row>
    <row r="15">
      <c r="A15" s="31" t="inlineStr">
        <is>
          <t>Capital expenditure</t>
        </is>
      </c>
      <c r="B15" s="14" t="inlineStr"/>
      <c r="D15" s="42">
        <f>-('Balance sheet'!D10-'Balance sheet'!C10)</f>
        <v/>
      </c>
      <c r="E15" s="42">
        <f>-('Balance sheet'!E10-'Balance sheet'!D10)</f>
        <v/>
      </c>
      <c r="F15" s="42">
        <f>-('Balance sheet'!F10-'Balance sheet'!E10)</f>
        <v/>
      </c>
      <c r="G15" s="42">
        <f>-('Balance sheet'!G10-'Balance sheet'!F10)</f>
        <v/>
      </c>
      <c r="H15" s="42">
        <f>-('Balance sheet'!H10-'Balance sheet'!G10)</f>
        <v/>
      </c>
      <c r="I15" s="42">
        <f>-('Balance sheet'!I10-'Balance sheet'!H10)</f>
        <v/>
      </c>
      <c r="J15" s="42">
        <f>-('Balance sheet'!J10-'Balance sheet'!I10)</f>
        <v/>
      </c>
      <c r="K15" s="42">
        <f>-('Balance sheet'!K10-'Balance sheet'!J10)</f>
        <v/>
      </c>
      <c r="L15" s="42">
        <f>-('Balance sheet'!L10-'Balance sheet'!K10)</f>
        <v/>
      </c>
      <c r="M15" s="42">
        <f>-('Balance sheet'!M10-'Balance sheet'!L10)</f>
        <v/>
      </c>
      <c r="N15" s="42">
        <f>-('Balance sheet'!N10-'Balance sheet'!M10)</f>
        <v/>
      </c>
      <c r="O15" s="42">
        <f>-('Balance sheet'!O10-'Balance sheet'!N10)</f>
        <v/>
      </c>
      <c r="P15" s="32">
        <f>-Assumptions!$F$15</f>
        <v/>
      </c>
      <c r="Q15" s="32">
        <f>-Assumptions!$F$15</f>
        <v/>
      </c>
      <c r="R15" s="32">
        <f>-Assumptions!$F$15</f>
        <v/>
      </c>
      <c r="S15" s="32">
        <f>-Assumptions!$F$15</f>
        <v/>
      </c>
      <c r="T15" s="32">
        <f>-Assumptions!$F$15</f>
        <v/>
      </c>
      <c r="U15" s="32">
        <f>-Assumptions!$F$15</f>
        <v/>
      </c>
      <c r="V15" s="32">
        <f>-Assumptions!$F$15</f>
        <v/>
      </c>
      <c r="W15" s="32">
        <f>-Assumptions!$F$15</f>
        <v/>
      </c>
      <c r="X15" s="32">
        <f>-Assumptions!$F$15</f>
        <v/>
      </c>
      <c r="Y15" s="32">
        <f>-Assumptions!$F$15</f>
        <v/>
      </c>
      <c r="Z15" s="32">
        <f>-Assumptions!$F$15</f>
        <v/>
      </c>
      <c r="AA15" s="32">
        <f>-Assumptions!$F$15</f>
        <v/>
      </c>
      <c r="AB15" s="32">
        <f>-Assumptions!$F$15</f>
        <v/>
      </c>
      <c r="AC15" s="32">
        <f>-Assumptions!$F$15</f>
        <v/>
      </c>
      <c r="AD15" s="32">
        <f>-Assumptions!$F$15</f>
        <v/>
      </c>
      <c r="AE15" s="32">
        <f>-Assumptions!$F$15</f>
        <v/>
      </c>
      <c r="AF15" s="32">
        <f>-Assumptions!$F$15</f>
        <v/>
      </c>
      <c r="AG15" s="32">
        <f>-Assumptions!$F$15</f>
        <v/>
      </c>
    </row>
    <row r="16">
      <c r="A16" s="29" t="inlineStr">
        <is>
          <t>Financing activities</t>
        </is>
      </c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 t="n"/>
    </row>
    <row r="17">
      <c r="A17" s="31" t="inlineStr">
        <is>
          <t>Equity raised (enter a raise here)</t>
        </is>
      </c>
      <c r="B17" s="14" t="inlineStr"/>
      <c r="D17" s="42">
        <f>'Balance sheet'!D18-'Balance sheet'!C18</f>
        <v/>
      </c>
      <c r="E17" s="42">
        <f>'Balance sheet'!E18-'Balance sheet'!D18</f>
        <v/>
      </c>
      <c r="F17" s="42">
        <f>'Balance sheet'!F18-'Balance sheet'!E18</f>
        <v/>
      </c>
      <c r="G17" s="42">
        <f>'Balance sheet'!G18-'Balance sheet'!F18</f>
        <v/>
      </c>
      <c r="H17" s="42">
        <f>'Balance sheet'!H18-'Balance sheet'!G18</f>
        <v/>
      </c>
      <c r="I17" s="42">
        <f>'Balance sheet'!I18-'Balance sheet'!H18</f>
        <v/>
      </c>
      <c r="J17" s="42">
        <f>'Balance sheet'!J18-'Balance sheet'!I18</f>
        <v/>
      </c>
      <c r="K17" s="42">
        <f>'Balance sheet'!K18-'Balance sheet'!J18</f>
        <v/>
      </c>
      <c r="L17" s="42">
        <f>'Balance sheet'!L18-'Balance sheet'!K18</f>
        <v/>
      </c>
      <c r="M17" s="42">
        <f>'Balance sheet'!M18-'Balance sheet'!L18</f>
        <v/>
      </c>
      <c r="N17" s="42">
        <f>'Balance sheet'!N18-'Balance sheet'!M18</f>
        <v/>
      </c>
      <c r="O17" s="42">
        <f>'Balance sheet'!O18-'Balance sheet'!N18</f>
        <v/>
      </c>
      <c r="P17" s="43" t="n">
        <v>0</v>
      </c>
      <c r="Q17" s="43" t="n">
        <v>0</v>
      </c>
      <c r="R17" s="43" t="n">
        <v>0</v>
      </c>
      <c r="S17" s="43" t="n">
        <v>0</v>
      </c>
      <c r="T17" s="43" t="n">
        <v>0</v>
      </c>
      <c r="U17" s="43" t="n">
        <v>0</v>
      </c>
      <c r="V17" s="43" t="n">
        <v>0</v>
      </c>
      <c r="W17" s="43" t="n">
        <v>0</v>
      </c>
      <c r="X17" s="43" t="n">
        <v>0</v>
      </c>
      <c r="Y17" s="43" t="n">
        <v>0</v>
      </c>
      <c r="Z17" s="43" t="n">
        <v>0</v>
      </c>
      <c r="AA17" s="43" t="n">
        <v>0</v>
      </c>
      <c r="AB17" s="43" t="n">
        <v>0</v>
      </c>
      <c r="AC17" s="43" t="n">
        <v>0</v>
      </c>
      <c r="AD17" s="43" t="n">
        <v>0</v>
      </c>
      <c r="AE17" s="43" t="n">
        <v>0</v>
      </c>
      <c r="AF17" s="43" t="n">
        <v>0</v>
      </c>
      <c r="AG17" s="43" t="n">
        <v>0</v>
      </c>
    </row>
    <row r="19">
      <c r="A19" s="33" t="inlineStr">
        <is>
          <t>Net change in cash</t>
        </is>
      </c>
      <c r="B19" s="14" t="inlineStr"/>
      <c r="D19" s="34">
        <f>D13+D15+D17</f>
        <v/>
      </c>
      <c r="E19" s="34">
        <f>E13+E15+E17</f>
        <v/>
      </c>
      <c r="F19" s="34">
        <f>F13+F15+F17</f>
        <v/>
      </c>
      <c r="G19" s="34">
        <f>G13+G15+G17</f>
        <v/>
      </c>
      <c r="H19" s="34">
        <f>H13+H15+H17</f>
        <v/>
      </c>
      <c r="I19" s="34">
        <f>I13+I15+I17</f>
        <v/>
      </c>
      <c r="J19" s="34">
        <f>J13+J15+J17</f>
        <v/>
      </c>
      <c r="K19" s="34">
        <f>K13+K15+K17</f>
        <v/>
      </c>
      <c r="L19" s="34">
        <f>L13+L15+L17</f>
        <v/>
      </c>
      <c r="M19" s="34">
        <f>M13+M15+M17</f>
        <v/>
      </c>
      <c r="N19" s="34">
        <f>N13+N15+N17</f>
        <v/>
      </c>
      <c r="O19" s="34">
        <f>O13+O15+O17</f>
        <v/>
      </c>
      <c r="P19" s="35">
        <f>P13+P15+P17</f>
        <v/>
      </c>
      <c r="Q19" s="35">
        <f>Q13+Q15+Q17</f>
        <v/>
      </c>
      <c r="R19" s="35">
        <f>R13+R15+R17</f>
        <v/>
      </c>
      <c r="S19" s="35">
        <f>S13+S15+S17</f>
        <v/>
      </c>
      <c r="T19" s="35">
        <f>T13+T15+T17</f>
        <v/>
      </c>
      <c r="U19" s="35">
        <f>U13+U15+U17</f>
        <v/>
      </c>
      <c r="V19" s="35">
        <f>V13+V15+V17</f>
        <v/>
      </c>
      <c r="W19" s="35">
        <f>W13+W15+W17</f>
        <v/>
      </c>
      <c r="X19" s="35">
        <f>X13+X15+X17</f>
        <v/>
      </c>
      <c r="Y19" s="35">
        <f>Y13+Y15+Y17</f>
        <v/>
      </c>
      <c r="Z19" s="35">
        <f>Z13+Z15+Z17</f>
        <v/>
      </c>
      <c r="AA19" s="35">
        <f>AA13+AA15+AA17</f>
        <v/>
      </c>
      <c r="AB19" s="35">
        <f>AB13+AB15+AB17</f>
        <v/>
      </c>
      <c r="AC19" s="35">
        <f>AC13+AC15+AC17</f>
        <v/>
      </c>
      <c r="AD19" s="35">
        <f>AD13+AD15+AD17</f>
        <v/>
      </c>
      <c r="AE19" s="35">
        <f>AE13+AE15+AE17</f>
        <v/>
      </c>
      <c r="AF19" s="35">
        <f>AF13+AF15+AF17</f>
        <v/>
      </c>
      <c r="AG19" s="35">
        <f>AG13+AG15+AG17</f>
        <v/>
      </c>
    </row>
    <row r="20">
      <c r="A20" s="31" t="inlineStr">
        <is>
          <t>Opening cash</t>
        </is>
      </c>
      <c r="B20" s="14" t="inlineStr"/>
      <c r="D20" s="42">
        <f>'Balance sheet'!C8</f>
        <v/>
      </c>
      <c r="E20" s="42">
        <f>'Balance sheet'!D8</f>
        <v/>
      </c>
      <c r="F20" s="42">
        <f>'Balance sheet'!E8</f>
        <v/>
      </c>
      <c r="G20" s="42">
        <f>'Balance sheet'!F8</f>
        <v/>
      </c>
      <c r="H20" s="42">
        <f>'Balance sheet'!G8</f>
        <v/>
      </c>
      <c r="I20" s="42">
        <f>'Balance sheet'!H8</f>
        <v/>
      </c>
      <c r="J20" s="42">
        <f>'Balance sheet'!I8</f>
        <v/>
      </c>
      <c r="K20" s="42">
        <f>'Balance sheet'!J8</f>
        <v/>
      </c>
      <c r="L20" s="42">
        <f>'Balance sheet'!K8</f>
        <v/>
      </c>
      <c r="M20" s="42">
        <f>'Balance sheet'!L8</f>
        <v/>
      </c>
      <c r="N20" s="42">
        <f>'Balance sheet'!M8</f>
        <v/>
      </c>
      <c r="O20" s="42">
        <f>'Balance sheet'!N8</f>
        <v/>
      </c>
      <c r="P20" s="32">
        <f>'Balance sheet'!O8</f>
        <v/>
      </c>
      <c r="Q20" s="32">
        <f>'Balance sheet'!P8</f>
        <v/>
      </c>
      <c r="R20" s="32">
        <f>'Balance sheet'!Q8</f>
        <v/>
      </c>
      <c r="S20" s="32">
        <f>'Balance sheet'!R8</f>
        <v/>
      </c>
      <c r="T20" s="32">
        <f>'Balance sheet'!S8</f>
        <v/>
      </c>
      <c r="U20" s="32">
        <f>'Balance sheet'!T8</f>
        <v/>
      </c>
      <c r="V20" s="32">
        <f>'Balance sheet'!U8</f>
        <v/>
      </c>
      <c r="W20" s="32">
        <f>'Balance sheet'!V8</f>
        <v/>
      </c>
      <c r="X20" s="32">
        <f>'Balance sheet'!W8</f>
        <v/>
      </c>
      <c r="Y20" s="32">
        <f>'Balance sheet'!X8</f>
        <v/>
      </c>
      <c r="Z20" s="32">
        <f>'Balance sheet'!Y8</f>
        <v/>
      </c>
      <c r="AA20" s="32">
        <f>'Balance sheet'!Z8</f>
        <v/>
      </c>
      <c r="AB20" s="32">
        <f>'Balance sheet'!AA8</f>
        <v/>
      </c>
      <c r="AC20" s="32">
        <f>'Balance sheet'!AB8</f>
        <v/>
      </c>
      <c r="AD20" s="32">
        <f>'Balance sheet'!AC8</f>
        <v/>
      </c>
      <c r="AE20" s="32">
        <f>'Balance sheet'!AD8</f>
        <v/>
      </c>
      <c r="AF20" s="32">
        <f>'Balance sheet'!AE8</f>
        <v/>
      </c>
      <c r="AG20" s="32">
        <f>'Balance sheet'!AF8</f>
        <v/>
      </c>
    </row>
    <row r="21">
      <c r="A21" s="33" t="inlineStr">
        <is>
          <t>Closing cash</t>
        </is>
      </c>
      <c r="B21" s="14" t="inlineStr"/>
      <c r="D21" s="34">
        <f>D20+D19</f>
        <v/>
      </c>
      <c r="E21" s="34">
        <f>E20+E19</f>
        <v/>
      </c>
      <c r="F21" s="34">
        <f>F20+F19</f>
        <v/>
      </c>
      <c r="G21" s="34">
        <f>G20+G19</f>
        <v/>
      </c>
      <c r="H21" s="34">
        <f>H20+H19</f>
        <v/>
      </c>
      <c r="I21" s="34">
        <f>I20+I19</f>
        <v/>
      </c>
      <c r="J21" s="34">
        <f>J20+J19</f>
        <v/>
      </c>
      <c r="K21" s="34">
        <f>K20+K19</f>
        <v/>
      </c>
      <c r="L21" s="34">
        <f>L20+L19</f>
        <v/>
      </c>
      <c r="M21" s="34">
        <f>M20+M19</f>
        <v/>
      </c>
      <c r="N21" s="34">
        <f>N20+N19</f>
        <v/>
      </c>
      <c r="O21" s="34">
        <f>O20+O19</f>
        <v/>
      </c>
      <c r="P21" s="35">
        <f>P20+P19</f>
        <v/>
      </c>
      <c r="Q21" s="35">
        <f>Q20+Q19</f>
        <v/>
      </c>
      <c r="R21" s="35">
        <f>R20+R19</f>
        <v/>
      </c>
      <c r="S21" s="35">
        <f>S20+S19</f>
        <v/>
      </c>
      <c r="T21" s="35">
        <f>T20+T19</f>
        <v/>
      </c>
      <c r="U21" s="35">
        <f>U20+U19</f>
        <v/>
      </c>
      <c r="V21" s="35">
        <f>V20+V19</f>
        <v/>
      </c>
      <c r="W21" s="35">
        <f>W20+W19</f>
        <v/>
      </c>
      <c r="X21" s="35">
        <f>X20+X19</f>
        <v/>
      </c>
      <c r="Y21" s="35">
        <f>Y20+Y19</f>
        <v/>
      </c>
      <c r="Z21" s="35">
        <f>Z20+Z19</f>
        <v/>
      </c>
      <c r="AA21" s="35">
        <f>AA20+AA19</f>
        <v/>
      </c>
      <c r="AB21" s="35">
        <f>AB20+AB19</f>
        <v/>
      </c>
      <c r="AC21" s="35">
        <f>AC20+AC19</f>
        <v/>
      </c>
      <c r="AD21" s="35">
        <f>AD20+AD19</f>
        <v/>
      </c>
      <c r="AE21" s="35">
        <f>AE20+AE19</f>
        <v/>
      </c>
      <c r="AF21" s="35">
        <f>AF20+AF19</f>
        <v/>
      </c>
      <c r="AG21" s="35">
        <f>AG20+AG19</f>
        <v/>
      </c>
    </row>
    <row r="22">
      <c r="A22" s="31" t="inlineStr">
        <is>
          <t>Free cash flow (operations + capex)</t>
        </is>
      </c>
      <c r="B22" s="14" t="inlineStr"/>
      <c r="D22" s="40">
        <f>D13+D15</f>
        <v/>
      </c>
      <c r="E22" s="40">
        <f>E13+E15</f>
        <v/>
      </c>
      <c r="F22" s="40">
        <f>F13+F15</f>
        <v/>
      </c>
      <c r="G22" s="40">
        <f>G13+G15</f>
        <v/>
      </c>
      <c r="H22" s="40">
        <f>H13+H15</f>
        <v/>
      </c>
      <c r="I22" s="40">
        <f>I13+I15</f>
        <v/>
      </c>
      <c r="J22" s="40">
        <f>J13+J15</f>
        <v/>
      </c>
      <c r="K22" s="40">
        <f>K13+K15</f>
        <v/>
      </c>
      <c r="L22" s="40">
        <f>L13+L15</f>
        <v/>
      </c>
      <c r="M22" s="40">
        <f>M13+M15</f>
        <v/>
      </c>
      <c r="N22" s="40">
        <f>N13+N15</f>
        <v/>
      </c>
      <c r="O22" s="40">
        <f>O13+O15</f>
        <v/>
      </c>
      <c r="P22" s="41">
        <f>P13+P15</f>
        <v/>
      </c>
      <c r="Q22" s="41">
        <f>Q13+Q15</f>
        <v/>
      </c>
      <c r="R22" s="41">
        <f>R13+R15</f>
        <v/>
      </c>
      <c r="S22" s="41">
        <f>S13+S15</f>
        <v/>
      </c>
      <c r="T22" s="41">
        <f>T13+T15</f>
        <v/>
      </c>
      <c r="U22" s="41">
        <f>U13+U15</f>
        <v/>
      </c>
      <c r="V22" s="41">
        <f>V13+V15</f>
        <v/>
      </c>
      <c r="W22" s="41">
        <f>W13+W15</f>
        <v/>
      </c>
      <c r="X22" s="41">
        <f>X13+X15</f>
        <v/>
      </c>
      <c r="Y22" s="41">
        <f>Y13+Y15</f>
        <v/>
      </c>
      <c r="Z22" s="41">
        <f>Z13+Z15</f>
        <v/>
      </c>
      <c r="AA22" s="41">
        <f>AA13+AA15</f>
        <v/>
      </c>
      <c r="AB22" s="41">
        <f>AB13+AB15</f>
        <v/>
      </c>
      <c r="AC22" s="41">
        <f>AC13+AC15</f>
        <v/>
      </c>
      <c r="AD22" s="41">
        <f>AD13+AD15</f>
        <v/>
      </c>
      <c r="AE22" s="41">
        <f>AE13+AE15</f>
        <v/>
      </c>
      <c r="AF22" s="41">
        <f>AF13+AF15</f>
        <v/>
      </c>
      <c r="AG22" s="41">
        <f>AG13+AG15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>
      <c r="A1" s="8" t="inlineStr">
        <is>
          <t>Echo Labs, Inc.</t>
        </is>
      </c>
    </row>
    <row r="2">
      <c r="A2" s="9" t="inlineStr">
        <is>
          <t>KPIs</t>
        </is>
      </c>
    </row>
    <row r="3">
      <c r="A3" s="10" t="inlineStr">
        <is>
          <t>Runway, burn and unit economics, all by formula · USD unless stated</t>
        </is>
      </c>
    </row>
    <row r="5">
      <c r="A5" s="13" t="inlineStr">
        <is>
          <t>USD</t>
        </is>
      </c>
      <c r="B5" s="26" t="n"/>
      <c r="C5" s="27" t="inlineStr">
        <is>
          <t>2025-09</t>
        </is>
      </c>
      <c r="D5" s="27" t="inlineStr">
        <is>
          <t>2025-10</t>
        </is>
      </c>
      <c r="E5" s="27" t="inlineStr">
        <is>
          <t>2025-11</t>
        </is>
      </c>
      <c r="F5" s="27" t="inlineStr">
        <is>
          <t>2025-12</t>
        </is>
      </c>
      <c r="G5" s="27" t="inlineStr">
        <is>
          <t>2026-01</t>
        </is>
      </c>
      <c r="H5" s="27" t="inlineStr">
        <is>
          <t>2026-02</t>
        </is>
      </c>
      <c r="I5" s="27" t="inlineStr">
        <is>
          <t>2026-03</t>
        </is>
      </c>
      <c r="J5" s="27" t="inlineStr">
        <is>
          <t>2026-04</t>
        </is>
      </c>
      <c r="K5" s="27" t="inlineStr">
        <is>
          <t>2026-05</t>
        </is>
      </c>
      <c r="L5" s="27" t="inlineStr">
        <is>
          <t>2026-06</t>
        </is>
      </c>
      <c r="M5" s="27" t="inlineStr">
        <is>
          <t>2026-07</t>
        </is>
      </c>
      <c r="N5" s="27" t="inlineStr">
        <is>
          <t>2026-08</t>
        </is>
      </c>
      <c r="O5" s="27" t="inlineStr">
        <is>
          <t>2026-09</t>
        </is>
      </c>
      <c r="P5" s="27" t="inlineStr">
        <is>
          <t>2026-10</t>
        </is>
      </c>
      <c r="Q5" s="27" t="inlineStr">
        <is>
          <t>2026-11</t>
        </is>
      </c>
      <c r="R5" s="27" t="inlineStr">
        <is>
          <t>2026-12</t>
        </is>
      </c>
      <c r="S5" s="27" t="inlineStr">
        <is>
          <t>2027-01</t>
        </is>
      </c>
      <c r="T5" s="27" t="inlineStr">
        <is>
          <t>2027-02</t>
        </is>
      </c>
      <c r="U5" s="27" t="inlineStr">
        <is>
          <t>2027-03</t>
        </is>
      </c>
      <c r="V5" s="27" t="inlineStr">
        <is>
          <t>2027-04</t>
        </is>
      </c>
      <c r="W5" s="27" t="inlineStr">
        <is>
          <t>2027-05</t>
        </is>
      </c>
      <c r="X5" s="27" t="inlineStr">
        <is>
          <t>2027-06</t>
        </is>
      </c>
      <c r="Y5" s="27" t="inlineStr">
        <is>
          <t>2027-07</t>
        </is>
      </c>
      <c r="Z5" s="27" t="inlineStr">
        <is>
          <t>2027-08</t>
        </is>
      </c>
      <c r="AA5" s="27" t="inlineStr">
        <is>
          <t>2027-09</t>
        </is>
      </c>
      <c r="AB5" s="27" t="inlineStr">
        <is>
          <t>2027-10</t>
        </is>
      </c>
      <c r="AC5" s="27" t="inlineStr">
        <is>
          <t>2027-11</t>
        </is>
      </c>
      <c r="AD5" s="27" t="inlineStr">
        <is>
          <t>2027-12</t>
        </is>
      </c>
      <c r="AE5" s="27" t="inlineStr">
        <is>
          <t>2028-01</t>
        </is>
      </c>
      <c r="AF5" s="27" t="inlineStr">
        <is>
          <t>2028-02</t>
        </is>
      </c>
      <c r="AG5" s="27" t="inlineStr">
        <is>
          <t>2028-03</t>
        </is>
      </c>
    </row>
    <row r="6">
      <c r="C6" s="28" t="inlineStr">
        <is>
          <t>Opening</t>
        </is>
      </c>
      <c r="D6" s="28" t="inlineStr">
        <is>
          <t>Actual</t>
        </is>
      </c>
      <c r="E6" s="28" t="inlineStr">
        <is>
          <t>Actual</t>
        </is>
      </c>
      <c r="F6" s="28" t="inlineStr">
        <is>
          <t>Actual</t>
        </is>
      </c>
      <c r="G6" s="28" t="inlineStr">
        <is>
          <t>Actual</t>
        </is>
      </c>
      <c r="H6" s="28" t="inlineStr">
        <is>
          <t>Actual</t>
        </is>
      </c>
      <c r="I6" s="28" t="inlineStr">
        <is>
          <t>Actual</t>
        </is>
      </c>
      <c r="J6" s="28" t="inlineStr">
        <is>
          <t>Actual</t>
        </is>
      </c>
      <c r="K6" s="28" t="inlineStr">
        <is>
          <t>Actual</t>
        </is>
      </c>
      <c r="L6" s="28" t="inlineStr">
        <is>
          <t>Actual</t>
        </is>
      </c>
      <c r="M6" s="28" t="inlineStr">
        <is>
          <t>Actual</t>
        </is>
      </c>
      <c r="N6" s="28" t="inlineStr">
        <is>
          <t>Actual</t>
        </is>
      </c>
      <c r="O6" s="28" t="inlineStr">
        <is>
          <t>Actual</t>
        </is>
      </c>
      <c r="P6" s="28" t="inlineStr">
        <is>
          <t>Forecast</t>
        </is>
      </c>
      <c r="Q6" s="28" t="inlineStr">
        <is>
          <t>Forecast</t>
        </is>
      </c>
      <c r="R6" s="28" t="inlineStr">
        <is>
          <t>Forecast</t>
        </is>
      </c>
      <c r="S6" s="28" t="inlineStr">
        <is>
          <t>Forecast</t>
        </is>
      </c>
      <c r="T6" s="28" t="inlineStr">
        <is>
          <t>Forecast</t>
        </is>
      </c>
      <c r="U6" s="28" t="inlineStr">
        <is>
          <t>Forecast</t>
        </is>
      </c>
      <c r="V6" s="28" t="inlineStr">
        <is>
          <t>Forecast</t>
        </is>
      </c>
      <c r="W6" s="28" t="inlineStr">
        <is>
          <t>Forecast</t>
        </is>
      </c>
      <c r="X6" s="28" t="inlineStr">
        <is>
          <t>Forecast</t>
        </is>
      </c>
      <c r="Y6" s="28" t="inlineStr">
        <is>
          <t>Forecast</t>
        </is>
      </c>
      <c r="Z6" s="28" t="inlineStr">
        <is>
          <t>Forecast</t>
        </is>
      </c>
      <c r="AA6" s="28" t="inlineStr">
        <is>
          <t>Forecast</t>
        </is>
      </c>
      <c r="AB6" s="28" t="inlineStr">
        <is>
          <t>Forecast</t>
        </is>
      </c>
      <c r="AC6" s="28" t="inlineStr">
        <is>
          <t>Forecast</t>
        </is>
      </c>
      <c r="AD6" s="28" t="inlineStr">
        <is>
          <t>Forecast</t>
        </is>
      </c>
      <c r="AE6" s="28" t="inlineStr">
        <is>
          <t>Forecast</t>
        </is>
      </c>
      <c r="AF6" s="28" t="inlineStr">
        <is>
          <t>Forecast</t>
        </is>
      </c>
      <c r="AG6" s="28" t="inlineStr">
        <is>
          <t>Forecast</t>
        </is>
      </c>
    </row>
    <row r="7">
      <c r="A7" s="29" t="inlineStr">
        <is>
          <t>Cash</t>
        </is>
      </c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</row>
    <row r="8">
      <c r="A8" s="31" t="inlineStr">
        <is>
          <t>Cash at month end</t>
        </is>
      </c>
      <c r="B8" s="14" t="inlineStr"/>
      <c r="C8" s="42">
        <f>'Balance sheet'!C8</f>
        <v/>
      </c>
      <c r="D8" s="42">
        <f>'Balance sheet'!D8</f>
        <v/>
      </c>
      <c r="E8" s="42">
        <f>'Balance sheet'!E8</f>
        <v/>
      </c>
      <c r="F8" s="42">
        <f>'Balance sheet'!F8</f>
        <v/>
      </c>
      <c r="G8" s="42">
        <f>'Balance sheet'!G8</f>
        <v/>
      </c>
      <c r="H8" s="42">
        <f>'Balance sheet'!H8</f>
        <v/>
      </c>
      <c r="I8" s="42">
        <f>'Balance sheet'!I8</f>
        <v/>
      </c>
      <c r="J8" s="42">
        <f>'Balance sheet'!J8</f>
        <v/>
      </c>
      <c r="K8" s="42">
        <f>'Balance sheet'!K8</f>
        <v/>
      </c>
      <c r="L8" s="42">
        <f>'Balance sheet'!L8</f>
        <v/>
      </c>
      <c r="M8" s="42">
        <f>'Balance sheet'!M8</f>
        <v/>
      </c>
      <c r="N8" s="42">
        <f>'Balance sheet'!N8</f>
        <v/>
      </c>
      <c r="O8" s="42">
        <f>'Balance sheet'!O8</f>
        <v/>
      </c>
      <c r="P8" s="32">
        <f>'Balance sheet'!P8</f>
        <v/>
      </c>
      <c r="Q8" s="32">
        <f>'Balance sheet'!Q8</f>
        <v/>
      </c>
      <c r="R8" s="32">
        <f>'Balance sheet'!R8</f>
        <v/>
      </c>
      <c r="S8" s="32">
        <f>'Balance sheet'!S8</f>
        <v/>
      </c>
      <c r="T8" s="32">
        <f>'Balance sheet'!T8</f>
        <v/>
      </c>
      <c r="U8" s="32">
        <f>'Balance sheet'!U8</f>
        <v/>
      </c>
      <c r="V8" s="32">
        <f>'Balance sheet'!V8</f>
        <v/>
      </c>
      <c r="W8" s="32">
        <f>'Balance sheet'!W8</f>
        <v/>
      </c>
      <c r="X8" s="32">
        <f>'Balance sheet'!X8</f>
        <v/>
      </c>
      <c r="Y8" s="32">
        <f>'Balance sheet'!Y8</f>
        <v/>
      </c>
      <c r="Z8" s="32">
        <f>'Balance sheet'!Z8</f>
        <v/>
      </c>
      <c r="AA8" s="32">
        <f>'Balance sheet'!AA8</f>
        <v/>
      </c>
      <c r="AB8" s="32">
        <f>'Balance sheet'!AB8</f>
        <v/>
      </c>
      <c r="AC8" s="32">
        <f>'Balance sheet'!AC8</f>
        <v/>
      </c>
      <c r="AD8" s="32">
        <f>'Balance sheet'!AD8</f>
        <v/>
      </c>
      <c r="AE8" s="32">
        <f>'Balance sheet'!AE8</f>
        <v/>
      </c>
      <c r="AF8" s="32">
        <f>'Balance sheet'!AF8</f>
        <v/>
      </c>
      <c r="AG8" s="32">
        <f>'Balance sheet'!AG8</f>
        <v/>
      </c>
    </row>
    <row r="9">
      <c r="A9" s="31" t="inlineStr">
        <is>
          <t>Net burn (cash used in the month)</t>
        </is>
      </c>
      <c r="B9" s="14" t="inlineStr"/>
      <c r="D9" s="42">
        <f>-'Cash flow'!D19</f>
        <v/>
      </c>
      <c r="E9" s="42">
        <f>-'Cash flow'!E19</f>
        <v/>
      </c>
      <c r="F9" s="42">
        <f>-'Cash flow'!F19</f>
        <v/>
      </c>
      <c r="G9" s="42">
        <f>-'Cash flow'!G19</f>
        <v/>
      </c>
      <c r="H9" s="42">
        <f>-'Cash flow'!H19</f>
        <v/>
      </c>
      <c r="I9" s="42">
        <f>-'Cash flow'!I19</f>
        <v/>
      </c>
      <c r="J9" s="42">
        <f>-'Cash flow'!J19</f>
        <v/>
      </c>
      <c r="K9" s="42">
        <f>-'Cash flow'!K19</f>
        <v/>
      </c>
      <c r="L9" s="42">
        <f>-'Cash flow'!L19</f>
        <v/>
      </c>
      <c r="M9" s="42">
        <f>-'Cash flow'!M19</f>
        <v/>
      </c>
      <c r="N9" s="42">
        <f>-'Cash flow'!N19</f>
        <v/>
      </c>
      <c r="O9" s="42">
        <f>-'Cash flow'!O19</f>
        <v/>
      </c>
      <c r="P9" s="32">
        <f>-'Cash flow'!P19</f>
        <v/>
      </c>
      <c r="Q9" s="32">
        <f>-'Cash flow'!Q19</f>
        <v/>
      </c>
      <c r="R9" s="32">
        <f>-'Cash flow'!R19</f>
        <v/>
      </c>
      <c r="S9" s="32">
        <f>-'Cash flow'!S19</f>
        <v/>
      </c>
      <c r="T9" s="32">
        <f>-'Cash flow'!T19</f>
        <v/>
      </c>
      <c r="U9" s="32">
        <f>-'Cash flow'!U19</f>
        <v/>
      </c>
      <c r="V9" s="32">
        <f>-'Cash flow'!V19</f>
        <v/>
      </c>
      <c r="W9" s="32">
        <f>-'Cash flow'!W19</f>
        <v/>
      </c>
      <c r="X9" s="32">
        <f>-'Cash flow'!X19</f>
        <v/>
      </c>
      <c r="Y9" s="32">
        <f>-'Cash flow'!Y19</f>
        <v/>
      </c>
      <c r="Z9" s="32">
        <f>-'Cash flow'!Z19</f>
        <v/>
      </c>
      <c r="AA9" s="32">
        <f>-'Cash flow'!AA19</f>
        <v/>
      </c>
      <c r="AB9" s="32">
        <f>-'Cash flow'!AB19</f>
        <v/>
      </c>
      <c r="AC9" s="32">
        <f>-'Cash flow'!AC19</f>
        <v/>
      </c>
      <c r="AD9" s="32">
        <f>-'Cash flow'!AD19</f>
        <v/>
      </c>
      <c r="AE9" s="32">
        <f>-'Cash flow'!AE19</f>
        <v/>
      </c>
      <c r="AF9" s="32">
        <f>-'Cash flow'!AF19</f>
        <v/>
      </c>
      <c r="AG9" s="32">
        <f>-'Cash flow'!AG19</f>
        <v/>
      </c>
    </row>
    <row r="10">
      <c r="A10" s="31" t="inlineStr">
        <is>
          <t>Average net burn, last 3 months</t>
        </is>
      </c>
      <c r="B10" s="14" t="inlineStr"/>
      <c r="F10" s="40">
        <f>AVERAGE(D9:F9)</f>
        <v/>
      </c>
      <c r="G10" s="40">
        <f>AVERAGE(E9:G9)</f>
        <v/>
      </c>
      <c r="H10" s="40">
        <f>AVERAGE(F9:H9)</f>
        <v/>
      </c>
      <c r="I10" s="40">
        <f>AVERAGE(G9:I9)</f>
        <v/>
      </c>
      <c r="J10" s="40">
        <f>AVERAGE(H9:J9)</f>
        <v/>
      </c>
      <c r="K10" s="40">
        <f>AVERAGE(I9:K9)</f>
        <v/>
      </c>
      <c r="L10" s="40">
        <f>AVERAGE(J9:L9)</f>
        <v/>
      </c>
      <c r="M10" s="40">
        <f>AVERAGE(K9:M9)</f>
        <v/>
      </c>
      <c r="N10" s="40">
        <f>AVERAGE(L9:N9)</f>
        <v/>
      </c>
      <c r="O10" s="40">
        <f>AVERAGE(M9:O9)</f>
        <v/>
      </c>
      <c r="P10" s="41">
        <f>AVERAGE(N9:P9)</f>
        <v/>
      </c>
      <c r="Q10" s="41">
        <f>AVERAGE(O9:Q9)</f>
        <v/>
      </c>
      <c r="R10" s="41">
        <f>AVERAGE(P9:R9)</f>
        <v/>
      </c>
      <c r="S10" s="41">
        <f>AVERAGE(Q9:S9)</f>
        <v/>
      </c>
      <c r="T10" s="41">
        <f>AVERAGE(R9:T9)</f>
        <v/>
      </c>
      <c r="U10" s="41">
        <f>AVERAGE(S9:U9)</f>
        <v/>
      </c>
      <c r="V10" s="41">
        <f>AVERAGE(T9:V9)</f>
        <v/>
      </c>
      <c r="W10" s="41">
        <f>AVERAGE(U9:W9)</f>
        <v/>
      </c>
      <c r="X10" s="41">
        <f>AVERAGE(V9:X9)</f>
        <v/>
      </c>
      <c r="Y10" s="41">
        <f>AVERAGE(W9:Y9)</f>
        <v/>
      </c>
      <c r="Z10" s="41">
        <f>AVERAGE(X9:Z9)</f>
        <v/>
      </c>
      <c r="AA10" s="41">
        <f>AVERAGE(Y9:AA9)</f>
        <v/>
      </c>
      <c r="AB10" s="41">
        <f>AVERAGE(Z9:AB9)</f>
        <v/>
      </c>
      <c r="AC10" s="41">
        <f>AVERAGE(AA9:AC9)</f>
        <v/>
      </c>
      <c r="AD10" s="41">
        <f>AVERAGE(AB9:AD9)</f>
        <v/>
      </c>
      <c r="AE10" s="41">
        <f>AVERAGE(AC9:AE9)</f>
        <v/>
      </c>
      <c r="AF10" s="41">
        <f>AVERAGE(AD9:AF9)</f>
        <v/>
      </c>
      <c r="AG10" s="41">
        <f>AVERAGE(AE9:AG9)</f>
        <v/>
      </c>
    </row>
    <row r="11">
      <c r="A11" s="31" t="inlineStr">
        <is>
          <t>Runway (months) at the 3-month burn rate</t>
        </is>
      </c>
      <c r="B11" s="14" t="inlineStr"/>
      <c r="F11" s="44">
        <f>IF(F10&lt;=0,"cash generative",F8/F10)</f>
        <v/>
      </c>
      <c r="G11" s="44">
        <f>IF(G10&lt;=0,"cash generative",G8/G10)</f>
        <v/>
      </c>
      <c r="H11" s="44">
        <f>IF(H10&lt;=0,"cash generative",H8/H10)</f>
        <v/>
      </c>
      <c r="I11" s="44">
        <f>IF(I10&lt;=0,"cash generative",I8/I10)</f>
        <v/>
      </c>
      <c r="J11" s="44">
        <f>IF(J10&lt;=0,"cash generative",J8/J10)</f>
        <v/>
      </c>
      <c r="K11" s="44">
        <f>IF(K10&lt;=0,"cash generative",K8/K10)</f>
        <v/>
      </c>
      <c r="L11" s="44">
        <f>IF(L10&lt;=0,"cash generative",L8/L10)</f>
        <v/>
      </c>
      <c r="M11" s="44">
        <f>IF(M10&lt;=0,"cash generative",M8/M10)</f>
        <v/>
      </c>
      <c r="N11" s="44">
        <f>IF(N10&lt;=0,"cash generative",N8/N10)</f>
        <v/>
      </c>
      <c r="O11" s="44">
        <f>IF(O10&lt;=0,"cash generative",O8/O10)</f>
        <v/>
      </c>
      <c r="P11" s="45">
        <f>IF(P10&lt;=0,"cash generative",P8/P10)</f>
        <v/>
      </c>
      <c r="Q11" s="45">
        <f>IF(Q10&lt;=0,"cash generative",Q8/Q10)</f>
        <v/>
      </c>
      <c r="R11" s="45">
        <f>IF(R10&lt;=0,"cash generative",R8/R10)</f>
        <v/>
      </c>
      <c r="S11" s="45">
        <f>IF(S10&lt;=0,"cash generative",S8/S10)</f>
        <v/>
      </c>
      <c r="T11" s="45">
        <f>IF(T10&lt;=0,"cash generative",T8/T10)</f>
        <v/>
      </c>
      <c r="U11" s="45">
        <f>IF(U10&lt;=0,"cash generative",U8/U10)</f>
        <v/>
      </c>
      <c r="V11" s="45">
        <f>IF(V10&lt;=0,"cash generative",V8/V10)</f>
        <v/>
      </c>
      <c r="W11" s="45">
        <f>IF(W10&lt;=0,"cash generative",W8/W10)</f>
        <v/>
      </c>
      <c r="X11" s="45">
        <f>IF(X10&lt;=0,"cash generative",X8/X10)</f>
        <v/>
      </c>
      <c r="Y11" s="45">
        <f>IF(Y10&lt;=0,"cash generative",Y8/Y10)</f>
        <v/>
      </c>
      <c r="Z11" s="45">
        <f>IF(Z10&lt;=0,"cash generative",Z8/Z10)</f>
        <v/>
      </c>
      <c r="AA11" s="45">
        <f>IF(AA10&lt;=0,"cash generative",AA8/AA10)</f>
        <v/>
      </c>
      <c r="AB11" s="45">
        <f>IF(AB10&lt;=0,"cash generative",AB8/AB10)</f>
        <v/>
      </c>
      <c r="AC11" s="45">
        <f>IF(AC10&lt;=0,"cash generative",AC8/AC10)</f>
        <v/>
      </c>
      <c r="AD11" s="45">
        <f>IF(AD10&lt;=0,"cash generative",AD8/AD10)</f>
        <v/>
      </c>
      <c r="AE11" s="45">
        <f>IF(AE10&lt;=0,"cash generative",AE8/AE10)</f>
        <v/>
      </c>
      <c r="AF11" s="45">
        <f>IF(AF10&lt;=0,"cash generative",AF8/AF10)</f>
        <v/>
      </c>
      <c r="AG11" s="45">
        <f>IF(AG10&lt;=0,"cash generative",AG8/AG10)</f>
        <v/>
      </c>
    </row>
    <row r="12">
      <c r="A12" s="31" t="inlineStr">
        <is>
          <t>Cash above the minimum cash policy</t>
        </is>
      </c>
      <c r="B12" s="14" t="inlineStr"/>
      <c r="C12" s="42">
        <f>C8-Assumptions!$F$21</f>
        <v/>
      </c>
      <c r="D12" s="42">
        <f>D8-Assumptions!$F$21</f>
        <v/>
      </c>
      <c r="E12" s="42">
        <f>E8-Assumptions!$F$21</f>
        <v/>
      </c>
      <c r="F12" s="42">
        <f>F8-Assumptions!$F$21</f>
        <v/>
      </c>
      <c r="G12" s="42">
        <f>G8-Assumptions!$F$21</f>
        <v/>
      </c>
      <c r="H12" s="42">
        <f>H8-Assumptions!$F$21</f>
        <v/>
      </c>
      <c r="I12" s="42">
        <f>I8-Assumptions!$F$21</f>
        <v/>
      </c>
      <c r="J12" s="42">
        <f>J8-Assumptions!$F$21</f>
        <v/>
      </c>
      <c r="K12" s="42">
        <f>K8-Assumptions!$F$21</f>
        <v/>
      </c>
      <c r="L12" s="42">
        <f>L8-Assumptions!$F$21</f>
        <v/>
      </c>
      <c r="M12" s="42">
        <f>M8-Assumptions!$F$21</f>
        <v/>
      </c>
      <c r="N12" s="42">
        <f>N8-Assumptions!$F$21</f>
        <v/>
      </c>
      <c r="O12" s="42">
        <f>O8-Assumptions!$F$21</f>
        <v/>
      </c>
      <c r="P12" s="32">
        <f>P8-Assumptions!$F$21</f>
        <v/>
      </c>
      <c r="Q12" s="32">
        <f>Q8-Assumptions!$F$21</f>
        <v/>
      </c>
      <c r="R12" s="32">
        <f>R8-Assumptions!$F$21</f>
        <v/>
      </c>
      <c r="S12" s="32">
        <f>S8-Assumptions!$F$21</f>
        <v/>
      </c>
      <c r="T12" s="32">
        <f>T8-Assumptions!$F$21</f>
        <v/>
      </c>
      <c r="U12" s="32">
        <f>U8-Assumptions!$F$21</f>
        <v/>
      </c>
      <c r="V12" s="32">
        <f>V8-Assumptions!$F$21</f>
        <v/>
      </c>
      <c r="W12" s="32">
        <f>W8-Assumptions!$F$21</f>
        <v/>
      </c>
      <c r="X12" s="32">
        <f>X8-Assumptions!$F$21</f>
        <v/>
      </c>
      <c r="Y12" s="32">
        <f>Y8-Assumptions!$F$21</f>
        <v/>
      </c>
      <c r="Z12" s="32">
        <f>Z8-Assumptions!$F$21</f>
        <v/>
      </c>
      <c r="AA12" s="32">
        <f>AA8-Assumptions!$F$21</f>
        <v/>
      </c>
      <c r="AB12" s="32">
        <f>AB8-Assumptions!$F$21</f>
        <v/>
      </c>
      <c r="AC12" s="32">
        <f>AC8-Assumptions!$F$21</f>
        <v/>
      </c>
      <c r="AD12" s="32">
        <f>AD8-Assumptions!$F$21</f>
        <v/>
      </c>
      <c r="AE12" s="32">
        <f>AE8-Assumptions!$F$21</f>
        <v/>
      </c>
      <c r="AF12" s="32">
        <f>AF8-Assumptions!$F$21</f>
        <v/>
      </c>
      <c r="AG12" s="32">
        <f>AG8-Assumptions!$F$21</f>
        <v/>
      </c>
    </row>
    <row r="13">
      <c r="A13" s="29" t="inlineStr">
        <is>
          <t>Customers and unit economics (same definitions as Finance OS)</t>
        </is>
      </c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</row>
    <row r="14">
      <c r="A14" s="31" t="inlineStr">
        <is>
          <t>ARR (usage revenue x 12)</t>
        </is>
      </c>
      <c r="B14" s="14" t="inlineStr"/>
      <c r="D14" s="42">
        <f>'P&amp;L'!D8*12</f>
        <v/>
      </c>
      <c r="E14" s="42">
        <f>'P&amp;L'!E8*12</f>
        <v/>
      </c>
      <c r="F14" s="42">
        <f>'P&amp;L'!F8*12</f>
        <v/>
      </c>
      <c r="G14" s="42">
        <f>'P&amp;L'!G8*12</f>
        <v/>
      </c>
      <c r="H14" s="42">
        <f>'P&amp;L'!H8*12</f>
        <v/>
      </c>
      <c r="I14" s="42">
        <f>'P&amp;L'!I8*12</f>
        <v/>
      </c>
      <c r="J14" s="42">
        <f>'P&amp;L'!J8*12</f>
        <v/>
      </c>
      <c r="K14" s="42">
        <f>'P&amp;L'!K8*12</f>
        <v/>
      </c>
      <c r="L14" s="42">
        <f>'P&amp;L'!L8*12</f>
        <v/>
      </c>
      <c r="M14" s="42">
        <f>'P&amp;L'!M8*12</f>
        <v/>
      </c>
      <c r="N14" s="42">
        <f>'P&amp;L'!N8*12</f>
        <v/>
      </c>
      <c r="O14" s="42">
        <f>'P&amp;L'!O8*12</f>
        <v/>
      </c>
      <c r="P14" s="32">
        <f>'P&amp;L'!P8*12</f>
        <v/>
      </c>
      <c r="Q14" s="32">
        <f>'P&amp;L'!Q8*12</f>
        <v/>
      </c>
      <c r="R14" s="32">
        <f>'P&amp;L'!R8*12</f>
        <v/>
      </c>
      <c r="S14" s="32">
        <f>'P&amp;L'!S8*12</f>
        <v/>
      </c>
      <c r="T14" s="32">
        <f>'P&amp;L'!T8*12</f>
        <v/>
      </c>
      <c r="U14" s="32">
        <f>'P&amp;L'!U8*12</f>
        <v/>
      </c>
      <c r="V14" s="32">
        <f>'P&amp;L'!V8*12</f>
        <v/>
      </c>
      <c r="W14" s="32">
        <f>'P&amp;L'!W8*12</f>
        <v/>
      </c>
      <c r="X14" s="32">
        <f>'P&amp;L'!X8*12</f>
        <v/>
      </c>
      <c r="Y14" s="32">
        <f>'P&amp;L'!Y8*12</f>
        <v/>
      </c>
      <c r="Z14" s="32">
        <f>'P&amp;L'!Z8*12</f>
        <v/>
      </c>
      <c r="AA14" s="32">
        <f>'P&amp;L'!AA8*12</f>
        <v/>
      </c>
      <c r="AB14" s="32">
        <f>'P&amp;L'!AB8*12</f>
        <v/>
      </c>
      <c r="AC14" s="32">
        <f>'P&amp;L'!AC8*12</f>
        <v/>
      </c>
      <c r="AD14" s="32">
        <f>'P&amp;L'!AD8*12</f>
        <v/>
      </c>
      <c r="AE14" s="32">
        <f>'P&amp;L'!AE8*12</f>
        <v/>
      </c>
      <c r="AF14" s="32">
        <f>'P&amp;L'!AF8*12</f>
        <v/>
      </c>
      <c r="AG14" s="32">
        <f>'P&amp;L'!AG8*12</f>
        <v/>
      </c>
    </row>
    <row r="15">
      <c r="A15" s="31" t="inlineStr">
        <is>
          <t>Sales and marketing spend (Sales department)</t>
        </is>
      </c>
      <c r="B15" s="14" t="inlineStr"/>
      <c r="D15" s="17" t="n">
        <v>132660.4</v>
      </c>
      <c r="E15" s="17" t="n">
        <v>143707.59</v>
      </c>
      <c r="F15" s="17" t="n">
        <v>150667.76</v>
      </c>
      <c r="G15" s="17" t="n">
        <v>153176.56</v>
      </c>
      <c r="H15" s="17" t="n">
        <v>150611.56</v>
      </c>
      <c r="I15" s="17" t="n">
        <v>178329.31</v>
      </c>
      <c r="J15" s="17" t="n">
        <v>178822.98</v>
      </c>
      <c r="K15" s="17" t="n">
        <v>178822.98</v>
      </c>
      <c r="L15" s="17" t="n">
        <v>178822.98</v>
      </c>
      <c r="M15" s="17" t="n">
        <v>179489.65</v>
      </c>
      <c r="N15" s="17" t="n">
        <v>179489.65</v>
      </c>
      <c r="O15" s="17" t="n">
        <v>179489.65</v>
      </c>
      <c r="P15" s="32">
        <f>'P&amp;L'!P21*Assumptions!$F$14</f>
        <v/>
      </c>
      <c r="Q15" s="32">
        <f>'P&amp;L'!Q21*Assumptions!$F$14</f>
        <v/>
      </c>
      <c r="R15" s="32">
        <f>'P&amp;L'!R21*Assumptions!$F$14</f>
        <v/>
      </c>
      <c r="S15" s="32">
        <f>'P&amp;L'!S21*Assumptions!$F$14</f>
        <v/>
      </c>
      <c r="T15" s="32">
        <f>'P&amp;L'!T21*Assumptions!$F$14</f>
        <v/>
      </c>
      <c r="U15" s="32">
        <f>'P&amp;L'!U21*Assumptions!$F$14</f>
        <v/>
      </c>
      <c r="V15" s="32">
        <f>'P&amp;L'!V21*Assumptions!$F$14</f>
        <v/>
      </c>
      <c r="W15" s="32">
        <f>'P&amp;L'!W21*Assumptions!$F$14</f>
        <v/>
      </c>
      <c r="X15" s="32">
        <f>'P&amp;L'!X21*Assumptions!$F$14</f>
        <v/>
      </c>
      <c r="Y15" s="32">
        <f>'P&amp;L'!Y21*Assumptions!$F$14</f>
        <v/>
      </c>
      <c r="Z15" s="32">
        <f>'P&amp;L'!Z21*Assumptions!$F$14</f>
        <v/>
      </c>
      <c r="AA15" s="32">
        <f>'P&amp;L'!AA21*Assumptions!$F$14</f>
        <v/>
      </c>
      <c r="AB15" s="32">
        <f>'P&amp;L'!AB21*Assumptions!$F$14</f>
        <v/>
      </c>
      <c r="AC15" s="32">
        <f>'P&amp;L'!AC21*Assumptions!$F$14</f>
        <v/>
      </c>
      <c r="AD15" s="32">
        <f>'P&amp;L'!AD21*Assumptions!$F$14</f>
        <v/>
      </c>
      <c r="AE15" s="32">
        <f>'P&amp;L'!AE21*Assumptions!$F$14</f>
        <v/>
      </c>
      <c r="AF15" s="32">
        <f>'P&amp;L'!AF21*Assumptions!$F$14</f>
        <v/>
      </c>
      <c r="AG15" s="32">
        <f>'P&amp;L'!AG21*Assumptions!$F$14</f>
        <v/>
      </c>
    </row>
    <row r="16">
      <c r="A16" s="31" t="inlineStr">
        <is>
          <t>New customers</t>
        </is>
      </c>
      <c r="B16" s="14" t="inlineStr"/>
      <c r="D16" s="19" t="n">
        <v>7</v>
      </c>
      <c r="E16" s="19" t="n">
        <v>8</v>
      </c>
      <c r="F16" s="19" t="n">
        <v>4</v>
      </c>
      <c r="G16" s="19" t="n">
        <v>3</v>
      </c>
      <c r="H16" s="19" t="n">
        <v>1</v>
      </c>
      <c r="I16" s="19" t="n">
        <v>3</v>
      </c>
      <c r="J16" s="19" t="n">
        <v>4</v>
      </c>
      <c r="K16" s="19" t="n">
        <v>2</v>
      </c>
      <c r="L16" s="19" t="n">
        <v>6</v>
      </c>
      <c r="M16" s="19" t="n">
        <v>4</v>
      </c>
      <c r="N16" s="19" t="n">
        <v>3</v>
      </c>
      <c r="O16" s="19" t="n">
        <v>3</v>
      </c>
      <c r="P16" s="39">
        <f>Assumptions!$F$22</f>
        <v/>
      </c>
      <c r="Q16" s="39">
        <f>Assumptions!$F$22</f>
        <v/>
      </c>
      <c r="R16" s="39">
        <f>Assumptions!$F$22</f>
        <v/>
      </c>
      <c r="S16" s="39">
        <f>Assumptions!$F$22</f>
        <v/>
      </c>
      <c r="T16" s="39">
        <f>Assumptions!$F$22</f>
        <v/>
      </c>
      <c r="U16" s="39">
        <f>Assumptions!$F$22</f>
        <v/>
      </c>
      <c r="V16" s="39">
        <f>Assumptions!$F$22</f>
        <v/>
      </c>
      <c r="W16" s="39">
        <f>Assumptions!$F$22</f>
        <v/>
      </c>
      <c r="X16" s="39">
        <f>Assumptions!$F$22</f>
        <v/>
      </c>
      <c r="Y16" s="39">
        <f>Assumptions!$F$22</f>
        <v/>
      </c>
      <c r="Z16" s="39">
        <f>Assumptions!$F$22</f>
        <v/>
      </c>
      <c r="AA16" s="39">
        <f>Assumptions!$F$22</f>
        <v/>
      </c>
      <c r="AB16" s="39">
        <f>Assumptions!$F$22</f>
        <v/>
      </c>
      <c r="AC16" s="39">
        <f>Assumptions!$F$22</f>
        <v/>
      </c>
      <c r="AD16" s="39">
        <f>Assumptions!$F$22</f>
        <v/>
      </c>
      <c r="AE16" s="39">
        <f>Assumptions!$F$22</f>
        <v/>
      </c>
      <c r="AF16" s="39">
        <f>Assumptions!$F$22</f>
        <v/>
      </c>
      <c r="AG16" s="39">
        <f>Assumptions!$F$22</f>
        <v/>
      </c>
    </row>
    <row r="17">
      <c r="A17" s="31" t="inlineStr">
        <is>
          <t>Logo churn rate</t>
        </is>
      </c>
      <c r="B17" s="14" t="inlineStr"/>
      <c r="D17" s="46" t="n">
        <v>0.0192</v>
      </c>
      <c r="E17" s="46" t="n">
        <v>0.0172</v>
      </c>
      <c r="F17" s="46" t="n">
        <v>0</v>
      </c>
      <c r="G17" s="46" t="n">
        <v>0.029</v>
      </c>
      <c r="H17" s="46" t="n">
        <v>0.0143</v>
      </c>
      <c r="I17" s="46" t="n">
        <v>0.0143</v>
      </c>
      <c r="J17" s="46" t="n">
        <v>0</v>
      </c>
      <c r="K17" s="46" t="n">
        <v>0.0263</v>
      </c>
      <c r="L17" s="46" t="n">
        <v>0.0526</v>
      </c>
      <c r="M17" s="46" t="n">
        <v>0.0385</v>
      </c>
      <c r="N17" s="46" t="n">
        <v>0.0759</v>
      </c>
      <c r="O17" s="46" t="n">
        <v>0.0649</v>
      </c>
      <c r="P17" s="47">
        <f>Assumptions!$F$23</f>
        <v/>
      </c>
      <c r="Q17" s="47">
        <f>Assumptions!$F$23</f>
        <v/>
      </c>
      <c r="R17" s="47">
        <f>Assumptions!$F$23</f>
        <v/>
      </c>
      <c r="S17" s="47">
        <f>Assumptions!$F$23</f>
        <v/>
      </c>
      <c r="T17" s="47">
        <f>Assumptions!$F$23</f>
        <v/>
      </c>
      <c r="U17" s="47">
        <f>Assumptions!$F$23</f>
        <v/>
      </c>
      <c r="V17" s="47">
        <f>Assumptions!$F$23</f>
        <v/>
      </c>
      <c r="W17" s="47">
        <f>Assumptions!$F$23</f>
        <v/>
      </c>
      <c r="X17" s="47">
        <f>Assumptions!$F$23</f>
        <v/>
      </c>
      <c r="Y17" s="47">
        <f>Assumptions!$F$23</f>
        <v/>
      </c>
      <c r="Z17" s="47">
        <f>Assumptions!$F$23</f>
        <v/>
      </c>
      <c r="AA17" s="47">
        <f>Assumptions!$F$23</f>
        <v/>
      </c>
      <c r="AB17" s="47">
        <f>Assumptions!$F$23</f>
        <v/>
      </c>
      <c r="AC17" s="47">
        <f>Assumptions!$F$23</f>
        <v/>
      </c>
      <c r="AD17" s="47">
        <f>Assumptions!$F$23</f>
        <v/>
      </c>
      <c r="AE17" s="47">
        <f>Assumptions!$F$23</f>
        <v/>
      </c>
      <c r="AF17" s="47">
        <f>Assumptions!$F$23</f>
        <v/>
      </c>
      <c r="AG17" s="47">
        <f>Assumptions!$F$23</f>
        <v/>
      </c>
    </row>
    <row r="18">
      <c r="A18" s="31" t="inlineStr">
        <is>
          <t>Active customers (month end)</t>
        </is>
      </c>
      <c r="B18" s="14" t="inlineStr"/>
      <c r="D18" s="19" t="n">
        <v>58</v>
      </c>
      <c r="E18" s="19" t="n">
        <v>65</v>
      </c>
      <c r="F18" s="19" t="n">
        <v>69</v>
      </c>
      <c r="G18" s="19" t="n">
        <v>70</v>
      </c>
      <c r="H18" s="19" t="n">
        <v>70</v>
      </c>
      <c r="I18" s="19" t="n">
        <v>72</v>
      </c>
      <c r="J18" s="19" t="n">
        <v>76</v>
      </c>
      <c r="K18" s="19" t="n">
        <v>76</v>
      </c>
      <c r="L18" s="19" t="n">
        <v>78</v>
      </c>
      <c r="M18" s="19" t="n">
        <v>79</v>
      </c>
      <c r="N18" s="19" t="n">
        <v>77</v>
      </c>
      <c r="O18" s="19" t="n">
        <v>75</v>
      </c>
      <c r="P18" s="45">
        <f>O18*(1-P17)+P16</f>
        <v/>
      </c>
      <c r="Q18" s="45">
        <f>P18*(1-Q17)+Q16</f>
        <v/>
      </c>
      <c r="R18" s="45">
        <f>Q18*(1-R17)+R16</f>
        <v/>
      </c>
      <c r="S18" s="45">
        <f>R18*(1-S17)+S16</f>
        <v/>
      </c>
      <c r="T18" s="45">
        <f>S18*(1-T17)+T16</f>
        <v/>
      </c>
      <c r="U18" s="45">
        <f>T18*(1-U17)+U16</f>
        <v/>
      </c>
      <c r="V18" s="45">
        <f>U18*(1-V17)+V16</f>
        <v/>
      </c>
      <c r="W18" s="45">
        <f>V18*(1-W17)+W16</f>
        <v/>
      </c>
      <c r="X18" s="45">
        <f>W18*(1-X17)+X16</f>
        <v/>
      </c>
      <c r="Y18" s="45">
        <f>X18*(1-Y17)+Y16</f>
        <v/>
      </c>
      <c r="Z18" s="45">
        <f>Y18*(1-Z17)+Z16</f>
        <v/>
      </c>
      <c r="AA18" s="45">
        <f>Z18*(1-AA17)+AA16</f>
        <v/>
      </c>
      <c r="AB18" s="45">
        <f>AA18*(1-AB17)+AB16</f>
        <v/>
      </c>
      <c r="AC18" s="45">
        <f>AB18*(1-AC17)+AC16</f>
        <v/>
      </c>
      <c r="AD18" s="45">
        <f>AC18*(1-AD17)+AD16</f>
        <v/>
      </c>
      <c r="AE18" s="45">
        <f>AD18*(1-AE17)+AE16</f>
        <v/>
      </c>
      <c r="AF18" s="45">
        <f>AE18*(1-AF17)+AF16</f>
        <v/>
      </c>
      <c r="AG18" s="45">
        <f>AF18*(1-AG17)+AG16</f>
        <v/>
      </c>
    </row>
    <row r="19">
      <c r="A19" s="31" t="inlineStr">
        <is>
          <t>ARPA (revenue per active customer, monthly)</t>
        </is>
      </c>
      <c r="B19" s="14" t="inlineStr"/>
      <c r="D19" s="42">
        <f>IF(D18=0,0,'P&amp;L'!D11/D18)</f>
        <v/>
      </c>
      <c r="E19" s="42">
        <f>IF(E18=0,0,'P&amp;L'!E11/E18)</f>
        <v/>
      </c>
      <c r="F19" s="42">
        <f>IF(F18=0,0,'P&amp;L'!F11/F18)</f>
        <v/>
      </c>
      <c r="G19" s="42">
        <f>IF(G18=0,0,'P&amp;L'!G11/G18)</f>
        <v/>
      </c>
      <c r="H19" s="42">
        <f>IF(H18=0,0,'P&amp;L'!H11/H18)</f>
        <v/>
      </c>
      <c r="I19" s="42">
        <f>IF(I18=0,0,'P&amp;L'!I11/I18)</f>
        <v/>
      </c>
      <c r="J19" s="42">
        <f>IF(J18=0,0,'P&amp;L'!J11/J18)</f>
        <v/>
      </c>
      <c r="K19" s="42">
        <f>IF(K18=0,0,'P&amp;L'!K11/K18)</f>
        <v/>
      </c>
      <c r="L19" s="42">
        <f>IF(L18=0,0,'P&amp;L'!L11/L18)</f>
        <v/>
      </c>
      <c r="M19" s="42">
        <f>IF(M18=0,0,'P&amp;L'!M11/M18)</f>
        <v/>
      </c>
      <c r="N19" s="42">
        <f>IF(N18=0,0,'P&amp;L'!N11/N18)</f>
        <v/>
      </c>
      <c r="O19" s="42">
        <f>IF(O18=0,0,'P&amp;L'!O11/O18)</f>
        <v/>
      </c>
      <c r="P19" s="32">
        <f>IF(P18=0,0,'P&amp;L'!P11/P18)</f>
        <v/>
      </c>
      <c r="Q19" s="32">
        <f>IF(Q18=0,0,'P&amp;L'!Q11/Q18)</f>
        <v/>
      </c>
      <c r="R19" s="32">
        <f>IF(R18=0,0,'P&amp;L'!R11/R18)</f>
        <v/>
      </c>
      <c r="S19" s="32">
        <f>IF(S18=0,0,'P&amp;L'!S11/S18)</f>
        <v/>
      </c>
      <c r="T19" s="32">
        <f>IF(T18=0,0,'P&amp;L'!T11/T18)</f>
        <v/>
      </c>
      <c r="U19" s="32">
        <f>IF(U18=0,0,'P&amp;L'!U11/U18)</f>
        <v/>
      </c>
      <c r="V19" s="32">
        <f>IF(V18=0,0,'P&amp;L'!V11/V18)</f>
        <v/>
      </c>
      <c r="W19" s="32">
        <f>IF(W18=0,0,'P&amp;L'!W11/W18)</f>
        <v/>
      </c>
      <c r="X19" s="32">
        <f>IF(X18=0,0,'P&amp;L'!X11/X18)</f>
        <v/>
      </c>
      <c r="Y19" s="32">
        <f>IF(Y18=0,0,'P&amp;L'!Y11/Y18)</f>
        <v/>
      </c>
      <c r="Z19" s="32">
        <f>IF(Z18=0,0,'P&amp;L'!Z11/Z18)</f>
        <v/>
      </c>
      <c r="AA19" s="32">
        <f>IF(AA18=0,0,'P&amp;L'!AA11/AA18)</f>
        <v/>
      </c>
      <c r="AB19" s="32">
        <f>IF(AB18=0,0,'P&amp;L'!AB11/AB18)</f>
        <v/>
      </c>
      <c r="AC19" s="32">
        <f>IF(AC18=0,0,'P&amp;L'!AC11/AC18)</f>
        <v/>
      </c>
      <c r="AD19" s="32">
        <f>IF(AD18=0,0,'P&amp;L'!AD11/AD18)</f>
        <v/>
      </c>
      <c r="AE19" s="32">
        <f>IF(AE18=0,0,'P&amp;L'!AE11/AE18)</f>
        <v/>
      </c>
      <c r="AF19" s="32">
        <f>IF(AF18=0,0,'P&amp;L'!AF11/AF18)</f>
        <v/>
      </c>
      <c r="AG19" s="32">
        <f>IF(AG18=0,0,'P&amp;L'!AG11/AG18)</f>
        <v/>
      </c>
    </row>
    <row r="20">
      <c r="A20" s="31" t="inlineStr">
        <is>
          <t>CAC (S&amp;M spend / new customers, trailing 3 months)</t>
        </is>
      </c>
      <c r="B20" s="14" t="inlineStr"/>
      <c r="F20" s="40">
        <f>IF(SUM(D16:F16)=0,0,SUM(D15:F15)/SUM(D16:F16))</f>
        <v/>
      </c>
      <c r="G20" s="40">
        <f>IF(SUM(E16:G16)=0,0,SUM(E15:G15)/SUM(E16:G16))</f>
        <v/>
      </c>
      <c r="H20" s="40">
        <f>IF(SUM(F16:H16)=0,0,SUM(F15:H15)/SUM(F16:H16))</f>
        <v/>
      </c>
      <c r="I20" s="40">
        <f>IF(SUM(G16:I16)=0,0,SUM(G15:I15)/SUM(G16:I16))</f>
        <v/>
      </c>
      <c r="J20" s="40">
        <f>IF(SUM(H16:J16)=0,0,SUM(H15:J15)/SUM(H16:J16))</f>
        <v/>
      </c>
      <c r="K20" s="40">
        <f>IF(SUM(I16:K16)=0,0,SUM(I15:K15)/SUM(I16:K16))</f>
        <v/>
      </c>
      <c r="L20" s="40">
        <f>IF(SUM(J16:L16)=0,0,SUM(J15:L15)/SUM(J16:L16))</f>
        <v/>
      </c>
      <c r="M20" s="40">
        <f>IF(SUM(K16:M16)=0,0,SUM(K15:M15)/SUM(K16:M16))</f>
        <v/>
      </c>
      <c r="N20" s="40">
        <f>IF(SUM(L16:N16)=0,0,SUM(L15:N15)/SUM(L16:N16))</f>
        <v/>
      </c>
      <c r="O20" s="40">
        <f>IF(SUM(M16:O16)=0,0,SUM(M15:O15)/SUM(M16:O16))</f>
        <v/>
      </c>
      <c r="P20" s="41">
        <f>IF(SUM(N16:P16)=0,0,SUM(N15:P15)/SUM(N16:P16))</f>
        <v/>
      </c>
      <c r="Q20" s="41">
        <f>IF(SUM(O16:Q16)=0,0,SUM(O15:Q15)/SUM(O16:Q16))</f>
        <v/>
      </c>
      <c r="R20" s="41">
        <f>IF(SUM(P16:R16)=0,0,SUM(P15:R15)/SUM(P16:R16))</f>
        <v/>
      </c>
      <c r="S20" s="41">
        <f>IF(SUM(Q16:S16)=0,0,SUM(Q15:S15)/SUM(Q16:S16))</f>
        <v/>
      </c>
      <c r="T20" s="41">
        <f>IF(SUM(R16:T16)=0,0,SUM(R15:T15)/SUM(R16:T16))</f>
        <v/>
      </c>
      <c r="U20" s="41">
        <f>IF(SUM(S16:U16)=0,0,SUM(S15:U15)/SUM(S16:U16))</f>
        <v/>
      </c>
      <c r="V20" s="41">
        <f>IF(SUM(T16:V16)=0,0,SUM(T15:V15)/SUM(T16:V16))</f>
        <v/>
      </c>
      <c r="W20" s="41">
        <f>IF(SUM(U16:W16)=0,0,SUM(U15:W15)/SUM(U16:W16))</f>
        <v/>
      </c>
      <c r="X20" s="41">
        <f>IF(SUM(V16:X16)=0,0,SUM(V15:X15)/SUM(V16:X16))</f>
        <v/>
      </c>
      <c r="Y20" s="41">
        <f>IF(SUM(W16:Y16)=0,0,SUM(W15:Y15)/SUM(W16:Y16))</f>
        <v/>
      </c>
      <c r="Z20" s="41">
        <f>IF(SUM(X16:Z16)=0,0,SUM(X15:Z15)/SUM(X16:Z16))</f>
        <v/>
      </c>
      <c r="AA20" s="41">
        <f>IF(SUM(Y16:AA16)=0,0,SUM(Y15:AA15)/SUM(Y16:AA16))</f>
        <v/>
      </c>
      <c r="AB20" s="41">
        <f>IF(SUM(Z16:AB16)=0,0,SUM(Z15:AB15)/SUM(Z16:AB16))</f>
        <v/>
      </c>
      <c r="AC20" s="41">
        <f>IF(SUM(AA16:AC16)=0,0,SUM(AA15:AC15)/SUM(AA16:AC16))</f>
        <v/>
      </c>
      <c r="AD20" s="41">
        <f>IF(SUM(AB16:AD16)=0,0,SUM(AB15:AD15)/SUM(AB16:AD16))</f>
        <v/>
      </c>
      <c r="AE20" s="41">
        <f>IF(SUM(AC16:AE16)=0,0,SUM(AC15:AE15)/SUM(AC16:AE16))</f>
        <v/>
      </c>
      <c r="AF20" s="41">
        <f>IF(SUM(AD16:AF16)=0,0,SUM(AD15:AF15)/SUM(AD16:AF16))</f>
        <v/>
      </c>
      <c r="AG20" s="41">
        <f>IF(SUM(AE16:AG16)=0,0,SUM(AE15:AG15)/SUM(AE16:AG16))</f>
        <v/>
      </c>
    </row>
    <row r="21">
      <c r="A21" s="31" t="inlineStr">
        <is>
          <t>CAC payback (months) = CAC / (ARPA x gross margin)</t>
        </is>
      </c>
      <c r="B21" s="14" t="inlineStr"/>
      <c r="F21" s="48">
        <f>IF(F19*'P&amp;L'!F17=0,0,F20/(F19*'P&amp;L'!F17))</f>
        <v/>
      </c>
      <c r="G21" s="48">
        <f>IF(G19*'P&amp;L'!G17=0,0,G20/(G19*'P&amp;L'!G17))</f>
        <v/>
      </c>
      <c r="H21" s="48">
        <f>IF(H19*'P&amp;L'!H17=0,0,H20/(H19*'P&amp;L'!H17))</f>
        <v/>
      </c>
      <c r="I21" s="48">
        <f>IF(I19*'P&amp;L'!I17=0,0,I20/(I19*'P&amp;L'!I17))</f>
        <v/>
      </c>
      <c r="J21" s="48">
        <f>IF(J19*'P&amp;L'!J17=0,0,J20/(J19*'P&amp;L'!J17))</f>
        <v/>
      </c>
      <c r="K21" s="48">
        <f>IF(K19*'P&amp;L'!K17=0,0,K20/(K19*'P&amp;L'!K17))</f>
        <v/>
      </c>
      <c r="L21" s="48">
        <f>IF(L19*'P&amp;L'!L17=0,0,L20/(L19*'P&amp;L'!L17))</f>
        <v/>
      </c>
      <c r="M21" s="48">
        <f>IF(M19*'P&amp;L'!M17=0,0,M20/(M19*'P&amp;L'!M17))</f>
        <v/>
      </c>
      <c r="N21" s="48">
        <f>IF(N19*'P&amp;L'!N17=0,0,N20/(N19*'P&amp;L'!N17))</f>
        <v/>
      </c>
      <c r="O21" s="48">
        <f>IF(O19*'P&amp;L'!O17=0,0,O20/(O19*'P&amp;L'!O17))</f>
        <v/>
      </c>
      <c r="P21" s="39">
        <f>IF(P19*'P&amp;L'!P17=0,0,P20/(P19*'P&amp;L'!P17))</f>
        <v/>
      </c>
      <c r="Q21" s="39">
        <f>IF(Q19*'P&amp;L'!Q17=0,0,Q20/(Q19*'P&amp;L'!Q17))</f>
        <v/>
      </c>
      <c r="R21" s="39">
        <f>IF(R19*'P&amp;L'!R17=0,0,R20/(R19*'P&amp;L'!R17))</f>
        <v/>
      </c>
      <c r="S21" s="39">
        <f>IF(S19*'P&amp;L'!S17=0,0,S20/(S19*'P&amp;L'!S17))</f>
        <v/>
      </c>
      <c r="T21" s="39">
        <f>IF(T19*'P&amp;L'!T17=0,0,T20/(T19*'P&amp;L'!T17))</f>
        <v/>
      </c>
      <c r="U21" s="39">
        <f>IF(U19*'P&amp;L'!U17=0,0,U20/(U19*'P&amp;L'!U17))</f>
        <v/>
      </c>
      <c r="V21" s="39">
        <f>IF(V19*'P&amp;L'!V17=0,0,V20/(V19*'P&amp;L'!V17))</f>
        <v/>
      </c>
      <c r="W21" s="39">
        <f>IF(W19*'P&amp;L'!W17=0,0,W20/(W19*'P&amp;L'!W17))</f>
        <v/>
      </c>
      <c r="X21" s="39">
        <f>IF(X19*'P&amp;L'!X17=0,0,X20/(X19*'P&amp;L'!X17))</f>
        <v/>
      </c>
      <c r="Y21" s="39">
        <f>IF(Y19*'P&amp;L'!Y17=0,0,Y20/(Y19*'P&amp;L'!Y17))</f>
        <v/>
      </c>
      <c r="Z21" s="39">
        <f>IF(Z19*'P&amp;L'!Z17=0,0,Z20/(Z19*'P&amp;L'!Z17))</f>
        <v/>
      </c>
      <c r="AA21" s="39">
        <f>IF(AA19*'P&amp;L'!AA17=0,0,AA20/(AA19*'P&amp;L'!AA17))</f>
        <v/>
      </c>
      <c r="AB21" s="39">
        <f>IF(AB19*'P&amp;L'!AB17=0,0,AB20/(AB19*'P&amp;L'!AB17))</f>
        <v/>
      </c>
      <c r="AC21" s="39">
        <f>IF(AC19*'P&amp;L'!AC17=0,0,AC20/(AC19*'P&amp;L'!AC17))</f>
        <v/>
      </c>
      <c r="AD21" s="39">
        <f>IF(AD19*'P&amp;L'!AD17=0,0,AD20/(AD19*'P&amp;L'!AD17))</f>
        <v/>
      </c>
      <c r="AE21" s="39">
        <f>IF(AE19*'P&amp;L'!AE17=0,0,AE20/(AE19*'P&amp;L'!AE17))</f>
        <v/>
      </c>
      <c r="AF21" s="39">
        <f>IF(AF19*'P&amp;L'!AF17=0,0,AF20/(AF19*'P&amp;L'!AF17))</f>
        <v/>
      </c>
      <c r="AG21" s="39">
        <f>IF(AG19*'P&amp;L'!AG17=0,0,AG20/(AG19*'P&amp;L'!AG17))</f>
        <v/>
      </c>
    </row>
    <row r="22">
      <c r="A22" s="31" t="inlineStr">
        <is>
          <t>LTV (ARPA x gross margin / churn, trailing 3 months)</t>
        </is>
      </c>
      <c r="B22" s="14" t="inlineStr"/>
      <c r="F22" s="42">
        <f>IF(AVERAGE(D17:F17)=0,0,F19*'P&amp;L'!F17/AVERAGE(D17:F17))</f>
        <v/>
      </c>
      <c r="G22" s="42">
        <f>IF(AVERAGE(E17:G17)=0,0,G19*'P&amp;L'!G17/AVERAGE(E17:G17))</f>
        <v/>
      </c>
      <c r="H22" s="42">
        <f>IF(AVERAGE(F17:H17)=0,0,H19*'P&amp;L'!H17/AVERAGE(F17:H17))</f>
        <v/>
      </c>
      <c r="I22" s="42">
        <f>IF(AVERAGE(G17:I17)=0,0,I19*'P&amp;L'!I17/AVERAGE(G17:I17))</f>
        <v/>
      </c>
      <c r="J22" s="42">
        <f>IF(AVERAGE(H17:J17)=0,0,J19*'P&amp;L'!J17/AVERAGE(H17:J17))</f>
        <v/>
      </c>
      <c r="K22" s="42">
        <f>IF(AVERAGE(I17:K17)=0,0,K19*'P&amp;L'!K17/AVERAGE(I17:K17))</f>
        <v/>
      </c>
      <c r="L22" s="42">
        <f>IF(AVERAGE(J17:L17)=0,0,L19*'P&amp;L'!L17/AVERAGE(J17:L17))</f>
        <v/>
      </c>
      <c r="M22" s="42">
        <f>IF(AVERAGE(K17:M17)=0,0,M19*'P&amp;L'!M17/AVERAGE(K17:M17))</f>
        <v/>
      </c>
      <c r="N22" s="42">
        <f>IF(AVERAGE(L17:N17)=0,0,N19*'P&amp;L'!N17/AVERAGE(L17:N17))</f>
        <v/>
      </c>
      <c r="O22" s="42">
        <f>IF(AVERAGE(M17:O17)=0,0,O19*'P&amp;L'!O17/AVERAGE(M17:O17))</f>
        <v/>
      </c>
      <c r="P22" s="32">
        <f>IF(AVERAGE(N17:P17)=0,0,P19*'P&amp;L'!P17/AVERAGE(N17:P17))</f>
        <v/>
      </c>
      <c r="Q22" s="32">
        <f>IF(AVERAGE(O17:Q17)=0,0,Q19*'P&amp;L'!Q17/AVERAGE(O17:Q17))</f>
        <v/>
      </c>
      <c r="R22" s="32">
        <f>IF(AVERAGE(P17:R17)=0,0,R19*'P&amp;L'!R17/AVERAGE(P17:R17))</f>
        <v/>
      </c>
      <c r="S22" s="32">
        <f>IF(AVERAGE(Q17:S17)=0,0,S19*'P&amp;L'!S17/AVERAGE(Q17:S17))</f>
        <v/>
      </c>
      <c r="T22" s="32">
        <f>IF(AVERAGE(R17:T17)=0,0,T19*'P&amp;L'!T17/AVERAGE(R17:T17))</f>
        <v/>
      </c>
      <c r="U22" s="32">
        <f>IF(AVERAGE(S17:U17)=0,0,U19*'P&amp;L'!U17/AVERAGE(S17:U17))</f>
        <v/>
      </c>
      <c r="V22" s="32">
        <f>IF(AVERAGE(T17:V17)=0,0,V19*'P&amp;L'!V17/AVERAGE(T17:V17))</f>
        <v/>
      </c>
      <c r="W22" s="32">
        <f>IF(AVERAGE(U17:W17)=0,0,W19*'P&amp;L'!W17/AVERAGE(U17:W17))</f>
        <v/>
      </c>
      <c r="X22" s="32">
        <f>IF(AVERAGE(V17:X17)=0,0,X19*'P&amp;L'!X17/AVERAGE(V17:X17))</f>
        <v/>
      </c>
      <c r="Y22" s="32">
        <f>IF(AVERAGE(W17:Y17)=0,0,Y19*'P&amp;L'!Y17/AVERAGE(W17:Y17))</f>
        <v/>
      </c>
      <c r="Z22" s="32">
        <f>IF(AVERAGE(X17:Z17)=0,0,Z19*'P&amp;L'!Z17/AVERAGE(X17:Z17))</f>
        <v/>
      </c>
      <c r="AA22" s="32">
        <f>IF(AVERAGE(Y17:AA17)=0,0,AA19*'P&amp;L'!AA17/AVERAGE(Y17:AA17))</f>
        <v/>
      </c>
      <c r="AB22" s="32">
        <f>IF(AVERAGE(Z17:AB17)=0,0,AB19*'P&amp;L'!AB17/AVERAGE(Z17:AB17))</f>
        <v/>
      </c>
      <c r="AC22" s="32">
        <f>IF(AVERAGE(AA17:AC17)=0,0,AC19*'P&amp;L'!AC17/AVERAGE(AA17:AC17))</f>
        <v/>
      </c>
      <c r="AD22" s="32">
        <f>IF(AVERAGE(AB17:AD17)=0,0,AD19*'P&amp;L'!AD17/AVERAGE(AB17:AD17))</f>
        <v/>
      </c>
      <c r="AE22" s="32">
        <f>IF(AVERAGE(AC17:AE17)=0,0,AE19*'P&amp;L'!AE17/AVERAGE(AC17:AE17))</f>
        <v/>
      </c>
      <c r="AF22" s="32">
        <f>IF(AVERAGE(AD17:AF17)=0,0,AF19*'P&amp;L'!AF17/AVERAGE(AD17:AF17))</f>
        <v/>
      </c>
      <c r="AG22" s="32">
        <f>IF(AVERAGE(AE17:AG17)=0,0,AG19*'P&amp;L'!AG17/AVERAGE(AE17:AG17))</f>
        <v/>
      </c>
    </row>
    <row r="23">
      <c r="A23" s="31" t="inlineStr">
        <is>
          <t>LTV : CAC</t>
        </is>
      </c>
      <c r="B23" s="14" t="inlineStr"/>
      <c r="F23" s="49">
        <f>IF(F20=0,0,F22/F20)</f>
        <v/>
      </c>
      <c r="G23" s="49">
        <f>IF(G20=0,0,G22/G20)</f>
        <v/>
      </c>
      <c r="H23" s="49">
        <f>IF(H20=0,0,H22/H20)</f>
        <v/>
      </c>
      <c r="I23" s="49">
        <f>IF(I20=0,0,I22/I20)</f>
        <v/>
      </c>
      <c r="J23" s="49">
        <f>IF(J20=0,0,J22/J20)</f>
        <v/>
      </c>
      <c r="K23" s="49">
        <f>IF(K20=0,0,K22/K20)</f>
        <v/>
      </c>
      <c r="L23" s="49">
        <f>IF(L20=0,0,L22/L20)</f>
        <v/>
      </c>
      <c r="M23" s="49">
        <f>IF(M20=0,0,M22/M20)</f>
        <v/>
      </c>
      <c r="N23" s="49">
        <f>IF(N20=0,0,N22/N20)</f>
        <v/>
      </c>
      <c r="O23" s="49">
        <f>IF(O20=0,0,O22/O20)</f>
        <v/>
      </c>
      <c r="P23" s="50">
        <f>IF(P20=0,0,P22/P20)</f>
        <v/>
      </c>
      <c r="Q23" s="50">
        <f>IF(Q20=0,0,Q22/Q20)</f>
        <v/>
      </c>
      <c r="R23" s="50">
        <f>IF(R20=0,0,R22/R20)</f>
        <v/>
      </c>
      <c r="S23" s="50">
        <f>IF(S20=0,0,S22/S20)</f>
        <v/>
      </c>
      <c r="T23" s="50">
        <f>IF(T20=0,0,T22/T20)</f>
        <v/>
      </c>
      <c r="U23" s="50">
        <f>IF(U20=0,0,U22/U20)</f>
        <v/>
      </c>
      <c r="V23" s="50">
        <f>IF(V20=0,0,V22/V20)</f>
        <v/>
      </c>
      <c r="W23" s="50">
        <f>IF(W20=0,0,W22/W20)</f>
        <v/>
      </c>
      <c r="X23" s="50">
        <f>IF(X20=0,0,X22/X20)</f>
        <v/>
      </c>
      <c r="Y23" s="50">
        <f>IF(Y20=0,0,Y22/Y20)</f>
        <v/>
      </c>
      <c r="Z23" s="50">
        <f>IF(Z20=0,0,Z22/Z20)</f>
        <v/>
      </c>
      <c r="AA23" s="50">
        <f>IF(AA20=0,0,AA22/AA20)</f>
        <v/>
      </c>
      <c r="AB23" s="50">
        <f>IF(AB20=0,0,AB22/AB20)</f>
        <v/>
      </c>
      <c r="AC23" s="50">
        <f>IF(AC20=0,0,AC22/AC20)</f>
        <v/>
      </c>
      <c r="AD23" s="50">
        <f>IF(AD20=0,0,AD22/AD20)</f>
        <v/>
      </c>
      <c r="AE23" s="50">
        <f>IF(AE20=0,0,AE22/AE20)</f>
        <v/>
      </c>
      <c r="AF23" s="50">
        <f>IF(AF20=0,0,AF22/AF20)</f>
        <v/>
      </c>
      <c r="AG23" s="50">
        <f>IF(AG20=0,0,AG22/AG20)</f>
        <v/>
      </c>
    </row>
    <row r="24">
      <c r="A24" s="31" t="inlineStr">
        <is>
          <t>CAC payback per Finance OS (actual months, for the tie-out)</t>
        </is>
      </c>
      <c r="B24" s="14" t="inlineStr"/>
      <c r="F24" s="19" t="n">
        <v>1.8</v>
      </c>
      <c r="G24" s="19" t="n">
        <v>2.3</v>
      </c>
      <c r="H24" s="19" t="n">
        <v>4.8</v>
      </c>
      <c r="I24" s="19" t="n">
        <v>5.2</v>
      </c>
      <c r="J24" s="19" t="n">
        <v>5.1</v>
      </c>
      <c r="K24" s="19" t="n">
        <v>5</v>
      </c>
      <c r="L24" s="19" t="n">
        <v>3.9</v>
      </c>
      <c r="M24" s="19" t="n">
        <v>4</v>
      </c>
      <c r="N24" s="19" t="n">
        <v>3.6</v>
      </c>
      <c r="O24" s="19" t="n">
        <v>4.2</v>
      </c>
    </row>
    <row r="25">
      <c r="A25" s="31" t="inlineStr">
        <is>
          <t>Gross margin</t>
        </is>
      </c>
      <c r="B25" s="14" t="inlineStr"/>
      <c r="D25" s="51">
        <f>'P&amp;L'!D17</f>
        <v/>
      </c>
      <c r="E25" s="51">
        <f>'P&amp;L'!E17</f>
        <v/>
      </c>
      <c r="F25" s="51">
        <f>'P&amp;L'!F17</f>
        <v/>
      </c>
      <c r="G25" s="51">
        <f>'P&amp;L'!G17</f>
        <v/>
      </c>
      <c r="H25" s="51">
        <f>'P&amp;L'!H17</f>
        <v/>
      </c>
      <c r="I25" s="51">
        <f>'P&amp;L'!I17</f>
        <v/>
      </c>
      <c r="J25" s="51">
        <f>'P&amp;L'!J17</f>
        <v/>
      </c>
      <c r="K25" s="51">
        <f>'P&amp;L'!K17</f>
        <v/>
      </c>
      <c r="L25" s="51">
        <f>'P&amp;L'!L17</f>
        <v/>
      </c>
      <c r="M25" s="51">
        <f>'P&amp;L'!M17</f>
        <v/>
      </c>
      <c r="N25" s="51">
        <f>'P&amp;L'!N17</f>
        <v/>
      </c>
      <c r="O25" s="51">
        <f>'P&amp;L'!O17</f>
        <v/>
      </c>
      <c r="P25" s="47">
        <f>'P&amp;L'!P17</f>
        <v/>
      </c>
      <c r="Q25" s="47">
        <f>'P&amp;L'!Q17</f>
        <v/>
      </c>
      <c r="R25" s="47">
        <f>'P&amp;L'!R17</f>
        <v/>
      </c>
      <c r="S25" s="47">
        <f>'P&amp;L'!S17</f>
        <v/>
      </c>
      <c r="T25" s="47">
        <f>'P&amp;L'!T17</f>
        <v/>
      </c>
      <c r="U25" s="47">
        <f>'P&amp;L'!U17</f>
        <v/>
      </c>
      <c r="V25" s="47">
        <f>'P&amp;L'!V17</f>
        <v/>
      </c>
      <c r="W25" s="47">
        <f>'P&amp;L'!W17</f>
        <v/>
      </c>
      <c r="X25" s="47">
        <f>'P&amp;L'!X17</f>
        <v/>
      </c>
      <c r="Y25" s="47">
        <f>'P&amp;L'!Y17</f>
        <v/>
      </c>
      <c r="Z25" s="47">
        <f>'P&amp;L'!Z17</f>
        <v/>
      </c>
      <c r="AA25" s="47">
        <f>'P&amp;L'!AA17</f>
        <v/>
      </c>
      <c r="AB25" s="47">
        <f>'P&amp;L'!AB17</f>
        <v/>
      </c>
      <c r="AC25" s="47">
        <f>'P&amp;L'!AC17</f>
        <v/>
      </c>
      <c r="AD25" s="47">
        <f>'P&amp;L'!AD17</f>
        <v/>
      </c>
      <c r="AE25" s="47">
        <f>'P&amp;L'!AE17</f>
        <v/>
      </c>
      <c r="AF25" s="47">
        <f>'P&amp;L'!AF17</f>
        <v/>
      </c>
      <c r="AG25" s="47">
        <f>'P&amp;L'!AG17</f>
        <v/>
      </c>
    </row>
    <row r="26">
      <c r="A26" s="31" t="inlineStr">
        <is>
          <t>EBITDA margin</t>
        </is>
      </c>
      <c r="B26" s="14" t="inlineStr"/>
      <c r="D26" s="51">
        <f>IF('P&amp;L'!D11=0,0,'P&amp;L'!D22/'P&amp;L'!D11)</f>
        <v/>
      </c>
      <c r="E26" s="51">
        <f>IF('P&amp;L'!E11=0,0,'P&amp;L'!E22/'P&amp;L'!E11)</f>
        <v/>
      </c>
      <c r="F26" s="51">
        <f>IF('P&amp;L'!F11=0,0,'P&amp;L'!F22/'P&amp;L'!F11)</f>
        <v/>
      </c>
      <c r="G26" s="51">
        <f>IF('P&amp;L'!G11=0,0,'P&amp;L'!G22/'P&amp;L'!G11)</f>
        <v/>
      </c>
      <c r="H26" s="51">
        <f>IF('P&amp;L'!H11=0,0,'P&amp;L'!H22/'P&amp;L'!H11)</f>
        <v/>
      </c>
      <c r="I26" s="51">
        <f>IF('P&amp;L'!I11=0,0,'P&amp;L'!I22/'P&amp;L'!I11)</f>
        <v/>
      </c>
      <c r="J26" s="51">
        <f>IF('P&amp;L'!J11=0,0,'P&amp;L'!J22/'P&amp;L'!J11)</f>
        <v/>
      </c>
      <c r="K26" s="51">
        <f>IF('P&amp;L'!K11=0,0,'P&amp;L'!K22/'P&amp;L'!K11)</f>
        <v/>
      </c>
      <c r="L26" s="51">
        <f>IF('P&amp;L'!L11=0,0,'P&amp;L'!L22/'P&amp;L'!L11)</f>
        <v/>
      </c>
      <c r="M26" s="51">
        <f>IF('P&amp;L'!M11=0,0,'P&amp;L'!M22/'P&amp;L'!M11)</f>
        <v/>
      </c>
      <c r="N26" s="51">
        <f>IF('P&amp;L'!N11=0,0,'P&amp;L'!N22/'P&amp;L'!N11)</f>
        <v/>
      </c>
      <c r="O26" s="51">
        <f>IF('P&amp;L'!O11=0,0,'P&amp;L'!O22/'P&amp;L'!O11)</f>
        <v/>
      </c>
      <c r="P26" s="47">
        <f>IF('P&amp;L'!P11=0,0,'P&amp;L'!P22/'P&amp;L'!P11)</f>
        <v/>
      </c>
      <c r="Q26" s="47">
        <f>IF('P&amp;L'!Q11=0,0,'P&amp;L'!Q22/'P&amp;L'!Q11)</f>
        <v/>
      </c>
      <c r="R26" s="47">
        <f>IF('P&amp;L'!R11=0,0,'P&amp;L'!R22/'P&amp;L'!R11)</f>
        <v/>
      </c>
      <c r="S26" s="47">
        <f>IF('P&amp;L'!S11=0,0,'P&amp;L'!S22/'P&amp;L'!S11)</f>
        <v/>
      </c>
      <c r="T26" s="47">
        <f>IF('P&amp;L'!T11=0,0,'P&amp;L'!T22/'P&amp;L'!T11)</f>
        <v/>
      </c>
      <c r="U26" s="47">
        <f>IF('P&amp;L'!U11=0,0,'P&amp;L'!U22/'P&amp;L'!U11)</f>
        <v/>
      </c>
      <c r="V26" s="47">
        <f>IF('P&amp;L'!V11=0,0,'P&amp;L'!V22/'P&amp;L'!V11)</f>
        <v/>
      </c>
      <c r="W26" s="47">
        <f>IF('P&amp;L'!W11=0,0,'P&amp;L'!W22/'P&amp;L'!W11)</f>
        <v/>
      </c>
      <c r="X26" s="47">
        <f>IF('P&amp;L'!X11=0,0,'P&amp;L'!X22/'P&amp;L'!X11)</f>
        <v/>
      </c>
      <c r="Y26" s="47">
        <f>IF('P&amp;L'!Y11=0,0,'P&amp;L'!Y22/'P&amp;L'!Y11)</f>
        <v/>
      </c>
      <c r="Z26" s="47">
        <f>IF('P&amp;L'!Z11=0,0,'P&amp;L'!Z22/'P&amp;L'!Z11)</f>
        <v/>
      </c>
      <c r="AA26" s="47">
        <f>IF('P&amp;L'!AA11=0,0,'P&amp;L'!AA22/'P&amp;L'!AA11)</f>
        <v/>
      </c>
      <c r="AB26" s="47">
        <f>IF('P&amp;L'!AB11=0,0,'P&amp;L'!AB22/'P&amp;L'!AB11)</f>
        <v/>
      </c>
      <c r="AC26" s="47">
        <f>IF('P&amp;L'!AC11=0,0,'P&amp;L'!AC22/'P&amp;L'!AC11)</f>
        <v/>
      </c>
      <c r="AD26" s="47">
        <f>IF('P&amp;L'!AD11=0,0,'P&amp;L'!AD22/'P&amp;L'!AD11)</f>
        <v/>
      </c>
      <c r="AE26" s="47">
        <f>IF('P&amp;L'!AE11=0,0,'P&amp;L'!AE22/'P&amp;L'!AE11)</f>
        <v/>
      </c>
      <c r="AF26" s="47">
        <f>IF('P&amp;L'!AF11=0,0,'P&amp;L'!AF22/'P&amp;L'!AF11)</f>
        <v/>
      </c>
      <c r="AG26" s="47">
        <f>IF('P&amp;L'!AG11=0,0,'P&amp;L'!AG22/'P&amp;L'!AG11)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7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>
      <c r="A1" s="8" t="inlineStr">
        <is>
          <t>Echo Labs, Inc.</t>
        </is>
      </c>
    </row>
    <row r="2">
      <c r="A2" s="9" t="inlineStr">
        <is>
          <t>Checks</t>
        </is>
      </c>
    </row>
    <row r="3">
      <c r="A3" s="10" t="inlineStr">
        <is>
          <t>Every check is a formula; TRUE in every month means the model is internally consistent</t>
        </is>
      </c>
    </row>
    <row r="5">
      <c r="A5" s="13" t="inlineStr">
        <is>
          <t>USD</t>
        </is>
      </c>
      <c r="B5" s="26" t="n"/>
      <c r="C5" s="27" t="inlineStr">
        <is>
          <t>2025-09</t>
        </is>
      </c>
      <c r="D5" s="27" t="inlineStr">
        <is>
          <t>2025-10</t>
        </is>
      </c>
      <c r="E5" s="27" t="inlineStr">
        <is>
          <t>2025-11</t>
        </is>
      </c>
      <c r="F5" s="27" t="inlineStr">
        <is>
          <t>2025-12</t>
        </is>
      </c>
      <c r="G5" s="27" t="inlineStr">
        <is>
          <t>2026-01</t>
        </is>
      </c>
      <c r="H5" s="27" t="inlineStr">
        <is>
          <t>2026-02</t>
        </is>
      </c>
      <c r="I5" s="27" t="inlineStr">
        <is>
          <t>2026-03</t>
        </is>
      </c>
      <c r="J5" s="27" t="inlineStr">
        <is>
          <t>2026-04</t>
        </is>
      </c>
      <c r="K5" s="27" t="inlineStr">
        <is>
          <t>2026-05</t>
        </is>
      </c>
      <c r="L5" s="27" t="inlineStr">
        <is>
          <t>2026-06</t>
        </is>
      </c>
      <c r="M5" s="27" t="inlineStr">
        <is>
          <t>2026-07</t>
        </is>
      </c>
      <c r="N5" s="27" t="inlineStr">
        <is>
          <t>2026-08</t>
        </is>
      </c>
      <c r="O5" s="27" t="inlineStr">
        <is>
          <t>2026-09</t>
        </is>
      </c>
      <c r="P5" s="27" t="inlineStr">
        <is>
          <t>2026-10</t>
        </is>
      </c>
      <c r="Q5" s="27" t="inlineStr">
        <is>
          <t>2026-11</t>
        </is>
      </c>
      <c r="R5" s="27" t="inlineStr">
        <is>
          <t>2026-12</t>
        </is>
      </c>
      <c r="S5" s="27" t="inlineStr">
        <is>
          <t>2027-01</t>
        </is>
      </c>
      <c r="T5" s="27" t="inlineStr">
        <is>
          <t>2027-02</t>
        </is>
      </c>
      <c r="U5" s="27" t="inlineStr">
        <is>
          <t>2027-03</t>
        </is>
      </c>
      <c r="V5" s="27" t="inlineStr">
        <is>
          <t>2027-04</t>
        </is>
      </c>
      <c r="W5" s="27" t="inlineStr">
        <is>
          <t>2027-05</t>
        </is>
      </c>
      <c r="X5" s="27" t="inlineStr">
        <is>
          <t>2027-06</t>
        </is>
      </c>
      <c r="Y5" s="27" t="inlineStr">
        <is>
          <t>2027-07</t>
        </is>
      </c>
      <c r="Z5" s="27" t="inlineStr">
        <is>
          <t>2027-08</t>
        </is>
      </c>
      <c r="AA5" s="27" t="inlineStr">
        <is>
          <t>2027-09</t>
        </is>
      </c>
      <c r="AB5" s="27" t="inlineStr">
        <is>
          <t>2027-10</t>
        </is>
      </c>
      <c r="AC5" s="27" t="inlineStr">
        <is>
          <t>2027-11</t>
        </is>
      </c>
      <c r="AD5" s="27" t="inlineStr">
        <is>
          <t>2027-12</t>
        </is>
      </c>
      <c r="AE5" s="27" t="inlineStr">
        <is>
          <t>2028-01</t>
        </is>
      </c>
      <c r="AF5" s="27" t="inlineStr">
        <is>
          <t>2028-02</t>
        </is>
      </c>
      <c r="AG5" s="27" t="inlineStr">
        <is>
          <t>2028-03</t>
        </is>
      </c>
    </row>
    <row r="6">
      <c r="C6" s="28" t="inlineStr">
        <is>
          <t>Opening</t>
        </is>
      </c>
      <c r="D6" s="28" t="inlineStr">
        <is>
          <t>Actual</t>
        </is>
      </c>
      <c r="E6" s="28" t="inlineStr">
        <is>
          <t>Actual</t>
        </is>
      </c>
      <c r="F6" s="28" t="inlineStr">
        <is>
          <t>Actual</t>
        </is>
      </c>
      <c r="G6" s="28" t="inlineStr">
        <is>
          <t>Actual</t>
        </is>
      </c>
      <c r="H6" s="28" t="inlineStr">
        <is>
          <t>Actual</t>
        </is>
      </c>
      <c r="I6" s="28" t="inlineStr">
        <is>
          <t>Actual</t>
        </is>
      </c>
      <c r="J6" s="28" t="inlineStr">
        <is>
          <t>Actual</t>
        </is>
      </c>
      <c r="K6" s="28" t="inlineStr">
        <is>
          <t>Actual</t>
        </is>
      </c>
      <c r="L6" s="28" t="inlineStr">
        <is>
          <t>Actual</t>
        </is>
      </c>
      <c r="M6" s="28" t="inlineStr">
        <is>
          <t>Actual</t>
        </is>
      </c>
      <c r="N6" s="28" t="inlineStr">
        <is>
          <t>Actual</t>
        </is>
      </c>
      <c r="O6" s="28" t="inlineStr">
        <is>
          <t>Actual</t>
        </is>
      </c>
      <c r="P6" s="28" t="inlineStr">
        <is>
          <t>Forecast</t>
        </is>
      </c>
      <c r="Q6" s="28" t="inlineStr">
        <is>
          <t>Forecast</t>
        </is>
      </c>
      <c r="R6" s="28" t="inlineStr">
        <is>
          <t>Forecast</t>
        </is>
      </c>
      <c r="S6" s="28" t="inlineStr">
        <is>
          <t>Forecast</t>
        </is>
      </c>
      <c r="T6" s="28" t="inlineStr">
        <is>
          <t>Forecast</t>
        </is>
      </c>
      <c r="U6" s="28" t="inlineStr">
        <is>
          <t>Forecast</t>
        </is>
      </c>
      <c r="V6" s="28" t="inlineStr">
        <is>
          <t>Forecast</t>
        </is>
      </c>
      <c r="W6" s="28" t="inlineStr">
        <is>
          <t>Forecast</t>
        </is>
      </c>
      <c r="X6" s="28" t="inlineStr">
        <is>
          <t>Forecast</t>
        </is>
      </c>
      <c r="Y6" s="28" t="inlineStr">
        <is>
          <t>Forecast</t>
        </is>
      </c>
      <c r="Z6" s="28" t="inlineStr">
        <is>
          <t>Forecast</t>
        </is>
      </c>
      <c r="AA6" s="28" t="inlineStr">
        <is>
          <t>Forecast</t>
        </is>
      </c>
      <c r="AB6" s="28" t="inlineStr">
        <is>
          <t>Forecast</t>
        </is>
      </c>
      <c r="AC6" s="28" t="inlineStr">
        <is>
          <t>Forecast</t>
        </is>
      </c>
      <c r="AD6" s="28" t="inlineStr">
        <is>
          <t>Forecast</t>
        </is>
      </c>
      <c r="AE6" s="28" t="inlineStr">
        <is>
          <t>Forecast</t>
        </is>
      </c>
      <c r="AF6" s="28" t="inlineStr">
        <is>
          <t>Forecast</t>
        </is>
      </c>
      <c r="AG6" s="28" t="inlineStr">
        <is>
          <t>Forecast</t>
        </is>
      </c>
    </row>
    <row r="7">
      <c r="A7" s="29" t="inlineStr">
        <is>
          <t>Integrity checks (TRUE = pass)</t>
        </is>
      </c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</row>
    <row r="8">
      <c r="A8" s="31" t="inlineStr">
        <is>
          <t>Balance sheet balances (assets = liabilities + equity)</t>
        </is>
      </c>
      <c r="B8" s="14" t="inlineStr"/>
      <c r="C8" s="52">
        <f>ABS('Balance sheet'!C23)&lt;0.01</f>
        <v/>
      </c>
      <c r="D8" s="52">
        <f>ABS('Balance sheet'!D23)&lt;0.01</f>
        <v/>
      </c>
      <c r="E8" s="52">
        <f>ABS('Balance sheet'!E23)&lt;0.01</f>
        <v/>
      </c>
      <c r="F8" s="52">
        <f>ABS('Balance sheet'!F23)&lt;0.01</f>
        <v/>
      </c>
      <c r="G8" s="52">
        <f>ABS('Balance sheet'!G23)&lt;0.01</f>
        <v/>
      </c>
      <c r="H8" s="52">
        <f>ABS('Balance sheet'!H23)&lt;0.01</f>
        <v/>
      </c>
      <c r="I8" s="52">
        <f>ABS('Balance sheet'!I23)&lt;0.01</f>
        <v/>
      </c>
      <c r="J8" s="52">
        <f>ABS('Balance sheet'!J23)&lt;0.01</f>
        <v/>
      </c>
      <c r="K8" s="52">
        <f>ABS('Balance sheet'!K23)&lt;0.01</f>
        <v/>
      </c>
      <c r="L8" s="52">
        <f>ABS('Balance sheet'!L23)&lt;0.01</f>
        <v/>
      </c>
      <c r="M8" s="52">
        <f>ABS('Balance sheet'!M23)&lt;0.01</f>
        <v/>
      </c>
      <c r="N8" s="52">
        <f>ABS('Balance sheet'!N23)&lt;0.01</f>
        <v/>
      </c>
      <c r="O8" s="52">
        <f>ABS('Balance sheet'!O23)&lt;0.01</f>
        <v/>
      </c>
      <c r="P8" s="53">
        <f>ABS('Balance sheet'!P23)&lt;0.01</f>
        <v/>
      </c>
      <c r="Q8" s="53">
        <f>ABS('Balance sheet'!Q23)&lt;0.01</f>
        <v/>
      </c>
      <c r="R8" s="53">
        <f>ABS('Balance sheet'!R23)&lt;0.01</f>
        <v/>
      </c>
      <c r="S8" s="53">
        <f>ABS('Balance sheet'!S23)&lt;0.01</f>
        <v/>
      </c>
      <c r="T8" s="53">
        <f>ABS('Balance sheet'!T23)&lt;0.01</f>
        <v/>
      </c>
      <c r="U8" s="53">
        <f>ABS('Balance sheet'!U23)&lt;0.01</f>
        <v/>
      </c>
      <c r="V8" s="53">
        <f>ABS('Balance sheet'!V23)&lt;0.01</f>
        <v/>
      </c>
      <c r="W8" s="53">
        <f>ABS('Balance sheet'!W23)&lt;0.01</f>
        <v/>
      </c>
      <c r="X8" s="53">
        <f>ABS('Balance sheet'!X23)&lt;0.01</f>
        <v/>
      </c>
      <c r="Y8" s="53">
        <f>ABS('Balance sheet'!Y23)&lt;0.01</f>
        <v/>
      </c>
      <c r="Z8" s="53">
        <f>ABS('Balance sheet'!Z23)&lt;0.01</f>
        <v/>
      </c>
      <c r="AA8" s="53">
        <f>ABS('Balance sheet'!AA23)&lt;0.01</f>
        <v/>
      </c>
      <c r="AB8" s="53">
        <f>ABS('Balance sheet'!AB23)&lt;0.01</f>
        <v/>
      </c>
      <c r="AC8" s="53">
        <f>ABS('Balance sheet'!AC23)&lt;0.01</f>
        <v/>
      </c>
      <c r="AD8" s="53">
        <f>ABS('Balance sheet'!AD23)&lt;0.01</f>
        <v/>
      </c>
      <c r="AE8" s="53">
        <f>ABS('Balance sheet'!AE23)&lt;0.01</f>
        <v/>
      </c>
      <c r="AF8" s="53">
        <f>ABS('Balance sheet'!AF23)&lt;0.01</f>
        <v/>
      </c>
      <c r="AG8" s="53">
        <f>ABS('Balance sheet'!AG23)&lt;0.01</f>
        <v/>
      </c>
    </row>
    <row r="9">
      <c r="A9" s="31" t="inlineStr">
        <is>
          <t>Cash flow closing cash = balance sheet cash</t>
        </is>
      </c>
      <c r="B9" s="14" t="inlineStr"/>
      <c r="D9" s="52">
        <f>ABS('Cash flow'!D21-'Balance sheet'!D8)&lt;0.01</f>
        <v/>
      </c>
      <c r="E9" s="52">
        <f>ABS('Cash flow'!E21-'Balance sheet'!E8)&lt;0.01</f>
        <v/>
      </c>
      <c r="F9" s="52">
        <f>ABS('Cash flow'!F21-'Balance sheet'!F8)&lt;0.01</f>
        <v/>
      </c>
      <c r="G9" s="52">
        <f>ABS('Cash flow'!G21-'Balance sheet'!G8)&lt;0.01</f>
        <v/>
      </c>
      <c r="H9" s="52">
        <f>ABS('Cash flow'!H21-'Balance sheet'!H8)&lt;0.01</f>
        <v/>
      </c>
      <c r="I9" s="52">
        <f>ABS('Cash flow'!I21-'Balance sheet'!I8)&lt;0.01</f>
        <v/>
      </c>
      <c r="J9" s="52">
        <f>ABS('Cash flow'!J21-'Balance sheet'!J8)&lt;0.01</f>
        <v/>
      </c>
      <c r="K9" s="52">
        <f>ABS('Cash flow'!K21-'Balance sheet'!K8)&lt;0.01</f>
        <v/>
      </c>
      <c r="L9" s="52">
        <f>ABS('Cash flow'!L21-'Balance sheet'!L8)&lt;0.01</f>
        <v/>
      </c>
      <c r="M9" s="52">
        <f>ABS('Cash flow'!M21-'Balance sheet'!M8)&lt;0.01</f>
        <v/>
      </c>
      <c r="N9" s="52">
        <f>ABS('Cash flow'!N21-'Balance sheet'!N8)&lt;0.01</f>
        <v/>
      </c>
      <c r="O9" s="52">
        <f>ABS('Cash flow'!O21-'Balance sheet'!O8)&lt;0.01</f>
        <v/>
      </c>
      <c r="P9" s="53">
        <f>ABS('Cash flow'!P21-'Balance sheet'!P8)&lt;0.01</f>
        <v/>
      </c>
      <c r="Q9" s="53">
        <f>ABS('Cash flow'!Q21-'Balance sheet'!Q8)&lt;0.01</f>
        <v/>
      </c>
      <c r="R9" s="53">
        <f>ABS('Cash flow'!R21-'Balance sheet'!R8)&lt;0.01</f>
        <v/>
      </c>
      <c r="S9" s="53">
        <f>ABS('Cash flow'!S21-'Balance sheet'!S8)&lt;0.01</f>
        <v/>
      </c>
      <c r="T9" s="53">
        <f>ABS('Cash flow'!T21-'Balance sheet'!T8)&lt;0.01</f>
        <v/>
      </c>
      <c r="U9" s="53">
        <f>ABS('Cash flow'!U21-'Balance sheet'!U8)&lt;0.01</f>
        <v/>
      </c>
      <c r="V9" s="53">
        <f>ABS('Cash flow'!V21-'Balance sheet'!V8)&lt;0.01</f>
        <v/>
      </c>
      <c r="W9" s="53">
        <f>ABS('Cash flow'!W21-'Balance sheet'!W8)&lt;0.01</f>
        <v/>
      </c>
      <c r="X9" s="53">
        <f>ABS('Cash flow'!X21-'Balance sheet'!X8)&lt;0.01</f>
        <v/>
      </c>
      <c r="Y9" s="53">
        <f>ABS('Cash flow'!Y21-'Balance sheet'!Y8)&lt;0.01</f>
        <v/>
      </c>
      <c r="Z9" s="53">
        <f>ABS('Cash flow'!Z21-'Balance sheet'!Z8)&lt;0.01</f>
        <v/>
      </c>
      <c r="AA9" s="53">
        <f>ABS('Cash flow'!AA21-'Balance sheet'!AA8)&lt;0.01</f>
        <v/>
      </c>
      <c r="AB9" s="53">
        <f>ABS('Cash flow'!AB21-'Balance sheet'!AB8)&lt;0.01</f>
        <v/>
      </c>
      <c r="AC9" s="53">
        <f>ABS('Cash flow'!AC21-'Balance sheet'!AC8)&lt;0.01</f>
        <v/>
      </c>
      <c r="AD9" s="53">
        <f>ABS('Cash flow'!AD21-'Balance sheet'!AD8)&lt;0.01</f>
        <v/>
      </c>
      <c r="AE9" s="53">
        <f>ABS('Cash flow'!AE21-'Balance sheet'!AE8)&lt;0.01</f>
        <v/>
      </c>
      <c r="AF9" s="53">
        <f>ABS('Cash flow'!AF21-'Balance sheet'!AF8)&lt;0.01</f>
        <v/>
      </c>
      <c r="AG9" s="53">
        <f>ABS('Cash flow'!AG21-'Balance sheet'!AG8)&lt;0.01</f>
        <v/>
      </c>
    </row>
    <row r="10">
      <c r="A10" s="31" t="inlineStr">
        <is>
          <t>Cash flow starts from P&amp;L net income</t>
        </is>
      </c>
      <c r="B10" s="14" t="inlineStr"/>
      <c r="D10" s="52">
        <f>ABS('Cash flow'!D8-'P&amp;L'!D26)&lt;0.01</f>
        <v/>
      </c>
      <c r="E10" s="52">
        <f>ABS('Cash flow'!E8-'P&amp;L'!E26)&lt;0.01</f>
        <v/>
      </c>
      <c r="F10" s="52">
        <f>ABS('Cash flow'!F8-'P&amp;L'!F26)&lt;0.01</f>
        <v/>
      </c>
      <c r="G10" s="52">
        <f>ABS('Cash flow'!G8-'P&amp;L'!G26)&lt;0.01</f>
        <v/>
      </c>
      <c r="H10" s="52">
        <f>ABS('Cash flow'!H8-'P&amp;L'!H26)&lt;0.01</f>
        <v/>
      </c>
      <c r="I10" s="52">
        <f>ABS('Cash flow'!I8-'P&amp;L'!I26)&lt;0.01</f>
        <v/>
      </c>
      <c r="J10" s="52">
        <f>ABS('Cash flow'!J8-'P&amp;L'!J26)&lt;0.01</f>
        <v/>
      </c>
      <c r="K10" s="52">
        <f>ABS('Cash flow'!K8-'P&amp;L'!K26)&lt;0.01</f>
        <v/>
      </c>
      <c r="L10" s="52">
        <f>ABS('Cash flow'!L8-'P&amp;L'!L26)&lt;0.01</f>
        <v/>
      </c>
      <c r="M10" s="52">
        <f>ABS('Cash flow'!M8-'P&amp;L'!M26)&lt;0.01</f>
        <v/>
      </c>
      <c r="N10" s="52">
        <f>ABS('Cash flow'!N8-'P&amp;L'!N26)&lt;0.01</f>
        <v/>
      </c>
      <c r="O10" s="52">
        <f>ABS('Cash flow'!O8-'P&amp;L'!O26)&lt;0.01</f>
        <v/>
      </c>
      <c r="P10" s="53">
        <f>ABS('Cash flow'!P8-'P&amp;L'!P26)&lt;0.01</f>
        <v/>
      </c>
      <c r="Q10" s="53">
        <f>ABS('Cash flow'!Q8-'P&amp;L'!Q26)&lt;0.01</f>
        <v/>
      </c>
      <c r="R10" s="53">
        <f>ABS('Cash flow'!R8-'P&amp;L'!R26)&lt;0.01</f>
        <v/>
      </c>
      <c r="S10" s="53">
        <f>ABS('Cash flow'!S8-'P&amp;L'!S26)&lt;0.01</f>
        <v/>
      </c>
      <c r="T10" s="53">
        <f>ABS('Cash flow'!T8-'P&amp;L'!T26)&lt;0.01</f>
        <v/>
      </c>
      <c r="U10" s="53">
        <f>ABS('Cash flow'!U8-'P&amp;L'!U26)&lt;0.01</f>
        <v/>
      </c>
      <c r="V10" s="53">
        <f>ABS('Cash flow'!V8-'P&amp;L'!V26)&lt;0.01</f>
        <v/>
      </c>
      <c r="W10" s="53">
        <f>ABS('Cash flow'!W8-'P&amp;L'!W26)&lt;0.01</f>
        <v/>
      </c>
      <c r="X10" s="53">
        <f>ABS('Cash flow'!X8-'P&amp;L'!X26)&lt;0.01</f>
        <v/>
      </c>
      <c r="Y10" s="53">
        <f>ABS('Cash flow'!Y8-'P&amp;L'!Y26)&lt;0.01</f>
        <v/>
      </c>
      <c r="Z10" s="53">
        <f>ABS('Cash flow'!Z8-'P&amp;L'!Z26)&lt;0.01</f>
        <v/>
      </c>
      <c r="AA10" s="53">
        <f>ABS('Cash flow'!AA8-'P&amp;L'!AA26)&lt;0.01</f>
        <v/>
      </c>
      <c r="AB10" s="53">
        <f>ABS('Cash flow'!AB8-'P&amp;L'!AB26)&lt;0.01</f>
        <v/>
      </c>
      <c r="AC10" s="53">
        <f>ABS('Cash flow'!AC8-'P&amp;L'!AC26)&lt;0.01</f>
        <v/>
      </c>
      <c r="AD10" s="53">
        <f>ABS('Cash flow'!AD8-'P&amp;L'!AD26)&lt;0.01</f>
        <v/>
      </c>
      <c r="AE10" s="53">
        <f>ABS('Cash flow'!AE8-'P&amp;L'!AE26)&lt;0.01</f>
        <v/>
      </c>
      <c r="AF10" s="53">
        <f>ABS('Cash flow'!AF8-'P&amp;L'!AF26)&lt;0.01</f>
        <v/>
      </c>
      <c r="AG10" s="53">
        <f>ABS('Cash flow'!AG8-'P&amp;L'!AG26)&lt;0.01</f>
        <v/>
      </c>
    </row>
    <row r="11">
      <c r="A11" s="31" t="inlineStr">
        <is>
          <t>P&amp;L net income ties to the ledger (actual months)</t>
        </is>
      </c>
      <c r="B11" s="14" t="inlineStr"/>
      <c r="D11" s="52">
        <f>ABS('P&amp;L'!D26-'P&amp;L'!D29)&lt;0.01</f>
        <v/>
      </c>
      <c r="E11" s="52">
        <f>ABS('P&amp;L'!E26-'P&amp;L'!E29)&lt;0.01</f>
        <v/>
      </c>
      <c r="F11" s="52">
        <f>ABS('P&amp;L'!F26-'P&amp;L'!F29)&lt;0.01</f>
        <v/>
      </c>
      <c r="G11" s="52">
        <f>ABS('P&amp;L'!G26-'P&amp;L'!G29)&lt;0.01</f>
        <v/>
      </c>
      <c r="H11" s="52">
        <f>ABS('P&amp;L'!H26-'P&amp;L'!H29)&lt;0.01</f>
        <v/>
      </c>
      <c r="I11" s="52">
        <f>ABS('P&amp;L'!I26-'P&amp;L'!I29)&lt;0.01</f>
        <v/>
      </c>
      <c r="J11" s="52">
        <f>ABS('P&amp;L'!J26-'P&amp;L'!J29)&lt;0.01</f>
        <v/>
      </c>
      <c r="K11" s="52">
        <f>ABS('P&amp;L'!K26-'P&amp;L'!K29)&lt;0.01</f>
        <v/>
      </c>
      <c r="L11" s="52">
        <f>ABS('P&amp;L'!L26-'P&amp;L'!L29)&lt;0.01</f>
        <v/>
      </c>
      <c r="M11" s="52">
        <f>ABS('P&amp;L'!M26-'P&amp;L'!M29)&lt;0.01</f>
        <v/>
      </c>
      <c r="N11" s="52">
        <f>ABS('P&amp;L'!N26-'P&amp;L'!N29)&lt;0.01</f>
        <v/>
      </c>
      <c r="O11" s="52">
        <f>ABS('P&amp;L'!O26-'P&amp;L'!O29)&lt;0.01</f>
        <v/>
      </c>
    </row>
    <row r="12">
      <c r="A12" s="31" t="inlineStr">
        <is>
          <t>CAC payback ties to Finance OS (actual months)</t>
        </is>
      </c>
      <c r="B12" s="14" t="inlineStr"/>
      <c r="F12" s="52">
        <f>ABS(ROUND(KPIs!F21,1)-KPIs!F24)&lt;0.15</f>
        <v/>
      </c>
      <c r="G12" s="52">
        <f>ABS(ROUND(KPIs!G21,1)-KPIs!G24)&lt;0.15</f>
        <v/>
      </c>
      <c r="H12" s="52">
        <f>ABS(ROUND(KPIs!H21,1)-KPIs!H24)&lt;0.15</f>
        <v/>
      </c>
      <c r="I12" s="52">
        <f>ABS(ROUND(KPIs!I21,1)-KPIs!I24)&lt;0.15</f>
        <v/>
      </c>
      <c r="J12" s="52">
        <f>ABS(ROUND(KPIs!J21,1)-KPIs!J24)&lt;0.15</f>
        <v/>
      </c>
      <c r="K12" s="52">
        <f>ABS(ROUND(KPIs!K21,1)-KPIs!K24)&lt;0.15</f>
        <v/>
      </c>
      <c r="L12" s="52">
        <f>ABS(ROUND(KPIs!L21,1)-KPIs!L24)&lt;0.15</f>
        <v/>
      </c>
      <c r="M12" s="52">
        <f>ABS(ROUND(KPIs!M21,1)-KPIs!M24)&lt;0.15</f>
        <v/>
      </c>
      <c r="N12" s="52">
        <f>ABS(ROUND(KPIs!N21,1)-KPIs!N24)&lt;0.15</f>
        <v/>
      </c>
      <c r="O12" s="52">
        <f>ABS(ROUND(KPIs!O21,1)-KPIs!O24)&lt;0.15</f>
        <v/>
      </c>
    </row>
    <row r="13">
      <c r="A13" s="31" t="inlineStr">
        <is>
          <t>Retained earnings roll forward by net income</t>
        </is>
      </c>
      <c r="B13" s="14" t="inlineStr"/>
      <c r="D13" s="52">
        <f>ABS('Balance sheet'!D19-'Balance sheet'!C19-'P&amp;L'!D26)&lt;0.01</f>
        <v/>
      </c>
      <c r="E13" s="52">
        <f>ABS('Balance sheet'!E19-'Balance sheet'!D19-'P&amp;L'!E26)&lt;0.01</f>
        <v/>
      </c>
      <c r="F13" s="52">
        <f>ABS('Balance sheet'!F19-'Balance sheet'!E19-'P&amp;L'!F26)&lt;0.01</f>
        <v/>
      </c>
      <c r="G13" s="52">
        <f>ABS('Balance sheet'!G19-'Balance sheet'!F19-'P&amp;L'!G26)&lt;0.01</f>
        <v/>
      </c>
      <c r="H13" s="52">
        <f>ABS('Balance sheet'!H19-'Balance sheet'!G19-'P&amp;L'!H26)&lt;0.01</f>
        <v/>
      </c>
      <c r="I13" s="52">
        <f>ABS('Balance sheet'!I19-'Balance sheet'!H19-'P&amp;L'!I26)&lt;0.01</f>
        <v/>
      </c>
      <c r="J13" s="52">
        <f>ABS('Balance sheet'!J19-'Balance sheet'!I19-'P&amp;L'!J26)&lt;0.01</f>
        <v/>
      </c>
      <c r="K13" s="52">
        <f>ABS('Balance sheet'!K19-'Balance sheet'!J19-'P&amp;L'!K26)&lt;0.01</f>
        <v/>
      </c>
      <c r="L13" s="52">
        <f>ABS('Balance sheet'!L19-'Balance sheet'!K19-'P&amp;L'!L26)&lt;0.01</f>
        <v/>
      </c>
      <c r="M13" s="52">
        <f>ABS('Balance sheet'!M19-'Balance sheet'!L19-'P&amp;L'!M26)&lt;0.01</f>
        <v/>
      </c>
      <c r="N13" s="52">
        <f>ABS('Balance sheet'!N19-'Balance sheet'!M19-'P&amp;L'!N26)&lt;0.01</f>
        <v/>
      </c>
      <c r="O13" s="52">
        <f>ABS('Balance sheet'!O19-'Balance sheet'!N19-'P&amp;L'!O26)&lt;0.01</f>
        <v/>
      </c>
      <c r="P13" s="53">
        <f>ABS('Balance sheet'!P19-'Balance sheet'!O19-'P&amp;L'!P26)&lt;0.01</f>
        <v/>
      </c>
      <c r="Q13" s="53">
        <f>ABS('Balance sheet'!Q19-'Balance sheet'!P19-'P&amp;L'!Q26)&lt;0.01</f>
        <v/>
      </c>
      <c r="R13" s="53">
        <f>ABS('Balance sheet'!R19-'Balance sheet'!Q19-'P&amp;L'!R26)&lt;0.01</f>
        <v/>
      </c>
      <c r="S13" s="53">
        <f>ABS('Balance sheet'!S19-'Balance sheet'!R19-'P&amp;L'!S26)&lt;0.01</f>
        <v/>
      </c>
      <c r="T13" s="53">
        <f>ABS('Balance sheet'!T19-'Balance sheet'!S19-'P&amp;L'!T26)&lt;0.01</f>
        <v/>
      </c>
      <c r="U13" s="53">
        <f>ABS('Balance sheet'!U19-'Balance sheet'!T19-'P&amp;L'!U26)&lt;0.01</f>
        <v/>
      </c>
      <c r="V13" s="53">
        <f>ABS('Balance sheet'!V19-'Balance sheet'!U19-'P&amp;L'!V26)&lt;0.01</f>
        <v/>
      </c>
      <c r="W13" s="53">
        <f>ABS('Balance sheet'!W19-'Balance sheet'!V19-'P&amp;L'!W26)&lt;0.01</f>
        <v/>
      </c>
      <c r="X13" s="53">
        <f>ABS('Balance sheet'!X19-'Balance sheet'!W19-'P&amp;L'!X26)&lt;0.01</f>
        <v/>
      </c>
      <c r="Y13" s="53">
        <f>ABS('Balance sheet'!Y19-'Balance sheet'!X19-'P&amp;L'!Y26)&lt;0.01</f>
        <v/>
      </c>
      <c r="Z13" s="53">
        <f>ABS('Balance sheet'!Z19-'Balance sheet'!Y19-'P&amp;L'!Z26)&lt;0.01</f>
        <v/>
      </c>
      <c r="AA13" s="53">
        <f>ABS('Balance sheet'!AA19-'Balance sheet'!Z19-'P&amp;L'!AA26)&lt;0.01</f>
        <v/>
      </c>
      <c r="AB13" s="53">
        <f>ABS('Balance sheet'!AB19-'Balance sheet'!AA19-'P&amp;L'!AB26)&lt;0.01</f>
        <v/>
      </c>
      <c r="AC13" s="53">
        <f>ABS('Balance sheet'!AC19-'Balance sheet'!AB19-'P&amp;L'!AC26)&lt;0.01</f>
        <v/>
      </c>
      <c r="AD13" s="53">
        <f>ABS('Balance sheet'!AD19-'Balance sheet'!AC19-'P&amp;L'!AD26)&lt;0.01</f>
        <v/>
      </c>
      <c r="AE13" s="53">
        <f>ABS('Balance sheet'!AE19-'Balance sheet'!AD19-'P&amp;L'!AE26)&lt;0.01</f>
        <v/>
      </c>
      <c r="AF13" s="53">
        <f>ABS('Balance sheet'!AF19-'Balance sheet'!AE19-'P&amp;L'!AF26)&lt;0.01</f>
        <v/>
      </c>
      <c r="AG13" s="53">
        <f>ABS('Balance sheet'!AG19-'Balance sheet'!AF19-'P&amp;L'!AG26)&lt;0.01</f>
        <v/>
      </c>
    </row>
    <row r="14">
      <c r="A14" s="33" t="inlineStr">
        <is>
          <t>All checks pass this month</t>
        </is>
      </c>
      <c r="B14" s="14" t="inlineStr"/>
      <c r="C14" s="54">
        <f>C8</f>
        <v/>
      </c>
      <c r="D14" s="54">
        <f>AND(D8:D13)</f>
        <v/>
      </c>
      <c r="E14" s="54">
        <f>AND(E8:E13)</f>
        <v/>
      </c>
      <c r="F14" s="54">
        <f>AND(F8:F13)</f>
        <v/>
      </c>
      <c r="G14" s="54">
        <f>AND(G8:G13)</f>
        <v/>
      </c>
      <c r="H14" s="54">
        <f>AND(H8:H13)</f>
        <v/>
      </c>
      <c r="I14" s="54">
        <f>AND(I8:I13)</f>
        <v/>
      </c>
      <c r="J14" s="54">
        <f>AND(J8:J13)</f>
        <v/>
      </c>
      <c r="K14" s="54">
        <f>AND(K8:K13)</f>
        <v/>
      </c>
      <c r="L14" s="54">
        <f>AND(L8:L13)</f>
        <v/>
      </c>
      <c r="M14" s="54">
        <f>AND(M8:M13)</f>
        <v/>
      </c>
      <c r="N14" s="54">
        <f>AND(N8:N13)</f>
        <v/>
      </c>
      <c r="O14" s="54">
        <f>AND(O8:O13)</f>
        <v/>
      </c>
      <c r="P14" s="55">
        <f>AND(P8:P13)</f>
        <v/>
      </c>
      <c r="Q14" s="55">
        <f>AND(Q8:Q13)</f>
        <v/>
      </c>
      <c r="R14" s="55">
        <f>AND(R8:R13)</f>
        <v/>
      </c>
      <c r="S14" s="55">
        <f>AND(S8:S13)</f>
        <v/>
      </c>
      <c r="T14" s="55">
        <f>AND(T8:T13)</f>
        <v/>
      </c>
      <c r="U14" s="55">
        <f>AND(U8:U13)</f>
        <v/>
      </c>
      <c r="V14" s="55">
        <f>AND(V8:V13)</f>
        <v/>
      </c>
      <c r="W14" s="55">
        <f>AND(W8:W13)</f>
        <v/>
      </c>
      <c r="X14" s="55">
        <f>AND(X8:X13)</f>
        <v/>
      </c>
      <c r="Y14" s="55">
        <f>AND(Y8:Y13)</f>
        <v/>
      </c>
      <c r="Z14" s="55">
        <f>AND(Z8:Z13)</f>
        <v/>
      </c>
      <c r="AA14" s="55">
        <f>AND(AA8:AA13)</f>
        <v/>
      </c>
      <c r="AB14" s="55">
        <f>AND(AB8:AB13)</f>
        <v/>
      </c>
      <c r="AC14" s="55">
        <f>AND(AC8:AC13)</f>
        <v/>
      </c>
      <c r="AD14" s="55">
        <f>AND(AD8:AD13)</f>
        <v/>
      </c>
      <c r="AE14" s="55">
        <f>AND(AE8:AE13)</f>
        <v/>
      </c>
      <c r="AF14" s="55">
        <f>AND(AF8:AF13)</f>
        <v/>
      </c>
      <c r="AG14" s="55">
        <f>AND(AG8:AG13)</f>
        <v/>
      </c>
    </row>
    <row r="16">
      <c r="A16" s="11" t="inlineStr">
        <is>
          <t>Model status</t>
        </is>
      </c>
      <c r="C16" s="11">
        <f>IF(COUNTIF(C14:AG14,FALSE)=0,"ALL CHECKS PASS","CHECK FAILED")</f>
        <v/>
      </c>
    </row>
    <row r="17">
      <c r="A17" t="inlineStr">
        <is>
          <t>Months failing a check</t>
        </is>
      </c>
      <c r="C17">
        <f>COUNTIF(C14:AG14,FALSE)</f>
        <v/>
      </c>
    </row>
  </sheetData>
  <conditionalFormatting sqref="C8:AG8">
    <cfRule type="expression" priority="1" dxfId="0">
      <formula>C8=FALSE</formula>
    </cfRule>
    <cfRule type="expression" priority="2" dxfId="1">
      <formula>C8=TRUE</formula>
    </cfRule>
  </conditionalFormatting>
  <conditionalFormatting sqref="C9:AG9">
    <cfRule type="expression" priority="3" dxfId="0">
      <formula>C9=FALSE</formula>
    </cfRule>
    <cfRule type="expression" priority="4" dxfId="1">
      <formula>C9=TRUE</formula>
    </cfRule>
  </conditionalFormatting>
  <conditionalFormatting sqref="C10:AG10">
    <cfRule type="expression" priority="5" dxfId="0">
      <formula>C10=FALSE</formula>
    </cfRule>
    <cfRule type="expression" priority="6" dxfId="1">
      <formula>C10=TRUE</formula>
    </cfRule>
  </conditionalFormatting>
  <conditionalFormatting sqref="C11:AG11">
    <cfRule type="expression" priority="7" dxfId="0">
      <formula>C11=FALSE</formula>
    </cfRule>
    <cfRule type="expression" priority="8" dxfId="1">
      <formula>C11=TRUE</formula>
    </cfRule>
  </conditionalFormatting>
  <conditionalFormatting sqref="C12:AG12">
    <cfRule type="expression" priority="9" dxfId="0">
      <formula>C12=FALSE</formula>
    </cfRule>
    <cfRule type="expression" priority="10" dxfId="1">
      <formula>C12=TRUE</formula>
    </cfRule>
  </conditionalFormatting>
  <conditionalFormatting sqref="C13:AG13">
    <cfRule type="expression" priority="11" dxfId="0">
      <formula>C13=FALSE</formula>
    </cfRule>
    <cfRule type="expression" priority="12" dxfId="1">
      <formula>C13=TRUE</formula>
    </cfRule>
  </conditionalFormatting>
  <conditionalFormatting sqref="C14:AG14">
    <cfRule type="expression" priority="13" dxfId="0">
      <formula>C14=FALSE</formula>
    </cfRule>
    <cfRule type="expression" priority="14" dxfId="1">
      <formula>C14=TRUE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8" customWidth="1" min="3" max="3"/>
    <col width="18" customWidth="1" min="4" max="4"/>
  </cols>
  <sheetData>
    <row r="1">
      <c r="A1" s="8" t="inlineStr">
        <is>
          <t>Echo Labs, Inc.</t>
        </is>
      </c>
    </row>
    <row r="2">
      <c r="A2" s="9" t="inlineStr">
        <is>
          <t>Annual summary</t>
        </is>
      </c>
    </row>
    <row r="3">
      <c r="A3" s="10" t="inlineStr">
        <is>
          <t>Full calendar years in the model; each figure sums or picks the monthly columns, so it follows the scenario.</t>
        </is>
      </c>
    </row>
    <row r="5">
      <c r="A5" s="13" t="inlineStr">
        <is>
          <t>USD</t>
        </is>
      </c>
      <c r="B5" s="26" t="n"/>
      <c r="C5" s="27" t="inlineStr">
        <is>
          <t>FY2026</t>
        </is>
      </c>
      <c r="D5" s="27" t="inlineStr">
        <is>
          <t>FY2027</t>
        </is>
      </c>
    </row>
    <row r="6">
      <c r="C6" s="10" t="inlineStr">
        <is>
          <t>9 actual + 3 forecast</t>
        </is>
      </c>
      <c r="D6" s="10" t="inlineStr">
        <is>
          <t>forecast</t>
        </is>
      </c>
    </row>
    <row r="7">
      <c r="A7" s="11" t="inlineStr">
        <is>
          <t>Revenue</t>
        </is>
      </c>
      <c r="C7" s="22">
        <f>SUM('P&amp;L'!G11:R11)</f>
        <v/>
      </c>
      <c r="D7" s="22">
        <f>SUM('P&amp;L'!S11:AD11)</f>
        <v/>
      </c>
    </row>
    <row r="8">
      <c r="A8" s="56" t="inlineStr">
        <is>
          <t>Gross profit</t>
        </is>
      </c>
      <c r="C8" s="42">
        <f>SUM('P&amp;L'!G16:R16)</f>
        <v/>
      </c>
      <c r="D8" s="42">
        <f>SUM('P&amp;L'!S16:AD16)</f>
        <v/>
      </c>
    </row>
    <row r="9">
      <c r="A9" s="56" t="inlineStr">
        <is>
          <t>Gross margin</t>
        </is>
      </c>
      <c r="C9" s="37">
        <f>IF(C7=0,0,C8/C7)</f>
        <v/>
      </c>
      <c r="D9" s="37">
        <f>IF(D7=0,0,D8/D7)</f>
        <v/>
      </c>
    </row>
    <row r="10">
      <c r="A10" s="56" t="inlineStr">
        <is>
          <t>Operating expenses</t>
        </is>
      </c>
      <c r="C10" s="42">
        <f>SUM('P&amp;L'!G21:R21)</f>
        <v/>
      </c>
      <c r="D10" s="42">
        <f>SUM('P&amp;L'!S21:AD21)</f>
        <v/>
      </c>
    </row>
    <row r="11">
      <c r="A11" s="11" t="inlineStr">
        <is>
          <t>EBITDA</t>
        </is>
      </c>
      <c r="C11" s="22">
        <f>SUM('P&amp;L'!G22:R22)</f>
        <v/>
      </c>
      <c r="D11" s="22">
        <f>SUM('P&amp;L'!S22:AD22)</f>
        <v/>
      </c>
    </row>
    <row r="12">
      <c r="A12" s="56" t="inlineStr">
        <is>
          <t>EBITDA margin</t>
        </is>
      </c>
      <c r="C12" s="37">
        <f>IF(C7=0,0,C11/C7)</f>
        <v/>
      </c>
      <c r="D12" s="37">
        <f>IF(D7=0,0,D11/D7)</f>
        <v/>
      </c>
    </row>
    <row r="13">
      <c r="A13" s="11" t="inlineStr">
        <is>
          <t>Net income</t>
        </is>
      </c>
      <c r="C13" s="22">
        <f>SUM('P&amp;L'!G26:R26)</f>
        <v/>
      </c>
      <c r="D13" s="22">
        <f>SUM('P&amp;L'!S26:AD26)</f>
        <v/>
      </c>
    </row>
    <row r="14">
      <c r="A14" s="56" t="inlineStr">
        <is>
          <t>Cash from operations</t>
        </is>
      </c>
      <c r="C14" s="42">
        <f>SUM('Cash flow'!G13:R13)</f>
        <v/>
      </c>
      <c r="D14" s="42">
        <f>SUM('Cash flow'!S13:AD13)</f>
        <v/>
      </c>
    </row>
    <row r="15">
      <c r="A15" s="56" t="inlineStr">
        <is>
          <t>Capital expenditure</t>
        </is>
      </c>
      <c r="C15" s="42">
        <f>SUM('Cash flow'!G15:R15)</f>
        <v/>
      </c>
      <c r="D15" s="42">
        <f>SUM('Cash flow'!S15:AD15)</f>
        <v/>
      </c>
    </row>
    <row r="16">
      <c r="A16" s="11" t="inlineStr">
        <is>
          <t>Free cash flow</t>
        </is>
      </c>
      <c r="C16" s="22">
        <f>SUM('Cash flow'!G22:R22)</f>
        <v/>
      </c>
      <c r="D16" s="22">
        <f>SUM('Cash flow'!S22:AD22)</f>
        <v/>
      </c>
    </row>
    <row r="17">
      <c r="A17" s="11" t="inlineStr">
        <is>
          <t>Cash at year end</t>
        </is>
      </c>
      <c r="C17" s="22">
        <f>'Balance sheet'!R8</f>
        <v/>
      </c>
      <c r="D17" s="22">
        <f>'Balance sheet'!AD8</f>
        <v/>
      </c>
    </row>
    <row r="18">
      <c r="A18" s="56" t="inlineStr">
        <is>
          <t>ARR at year end</t>
        </is>
      </c>
      <c r="C18" s="42">
        <f>'KPIs'!R14</f>
        <v/>
      </c>
      <c r="D18" s="42">
        <f>'KPIs'!AD14</f>
        <v/>
      </c>
    </row>
    <row r="19">
      <c r="A19" s="56" t="inlineStr">
        <is>
          <t>Active customers at year end</t>
        </is>
      </c>
      <c r="C19" s="48">
        <f>'KPIs'!R18</f>
        <v/>
      </c>
      <c r="D19" s="48">
        <f>'KPIs'!AD18</f>
        <v/>
      </c>
    </row>
    <row r="20">
      <c r="A20" s="56" t="inlineStr">
        <is>
          <t>Headcount at year end</t>
        </is>
      </c>
      <c r="C20" s="48">
        <f>'P&amp;L'!R30</f>
        <v/>
      </c>
      <c r="D20" s="48">
        <f>'P&amp;L'!AD30</f>
        <v/>
      </c>
    </row>
    <row r="21">
      <c r="A21" s="56" t="inlineStr">
        <is>
          <t>CAC payback at year end (months)</t>
        </is>
      </c>
      <c r="C21" s="48">
        <f>'KPIs'!R21</f>
        <v/>
      </c>
      <c r="D21" s="48">
        <f>'KPIs'!AD21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64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8" t="inlineStr">
        <is>
          <t>Echo Labs, Inc.</t>
        </is>
      </c>
    </row>
    <row r="2">
      <c r="A2" s="9" t="inlineStr">
        <is>
          <t>Sensitivity: cash at the end of the forecast</t>
        </is>
      </c>
    </row>
    <row r="3" ht="44" customHeight="1">
      <c r="A3" s="57" t="inlineStr">
        <is>
          <t>An Excel Data Table (Data &gt; What-If Analysis &gt; Data Table): Excel reruns the whole model for each pair of usage growth (down) and non-payroll opex growth (across), with the selected scenario's other drivers. Leave C5 and C6 blank: they are the table's input cells.</t>
        </is>
      </c>
    </row>
    <row r="5">
      <c r="A5" t="inlineStr">
        <is>
          <t>Usage growth override (the table's column input cell)</t>
        </is>
      </c>
      <c r="C5" s="58" t="n"/>
    </row>
    <row r="6">
      <c r="A6" t="inlineStr">
        <is>
          <t>Non-payroll opex growth override (the table's row input cell)</t>
        </is>
      </c>
      <c r="C6" s="58" t="n"/>
    </row>
    <row r="8">
      <c r="A8" s="11" t="inlineStr">
        <is>
          <t>Cash at the end of the forecast (down: usage growth per month; across: non-payroll opex growth per month)</t>
        </is>
      </c>
    </row>
    <row r="9">
      <c r="B9" s="42">
        <f>'Balance sheet'!AG8</f>
        <v/>
      </c>
      <c r="C9" s="59" t="n">
        <v>0</v>
      </c>
      <c r="D9" s="59" t="n">
        <v>0.01</v>
      </c>
      <c r="E9" s="59" t="n">
        <v>0.02</v>
      </c>
      <c r="F9" s="59" t="n">
        <v>0.03</v>
      </c>
    </row>
    <row r="10">
      <c r="B10" s="59" t="n">
        <v>0</v>
      </c>
      <c r="C10" s="60">
        <f t="dataTable" ref="C10:F14" dt2D="1" r1="C6" r2="C5"/>
        <v/>
      </c>
      <c r="D10" s="60" t="n"/>
      <c r="E10" s="60" t="n"/>
      <c r="F10" s="60" t="n"/>
    </row>
    <row r="11">
      <c r="B11" s="59" t="n">
        <v>0.01</v>
      </c>
      <c r="C11" s="60" t="n"/>
      <c r="D11" s="60" t="n"/>
      <c r="E11" s="60" t="n"/>
      <c r="F11" s="60" t="n"/>
    </row>
    <row r="12">
      <c r="B12" s="59" t="n">
        <v>0.02</v>
      </c>
      <c r="C12" s="60" t="n"/>
      <c r="D12" s="60" t="n"/>
      <c r="E12" s="60" t="n"/>
      <c r="F12" s="60" t="n"/>
    </row>
    <row r="13">
      <c r="B13" s="59" t="n">
        <v>0.03</v>
      </c>
      <c r="C13" s="60" t="n"/>
      <c r="D13" s="60" t="n"/>
      <c r="E13" s="60" t="n"/>
      <c r="F13" s="60" t="n"/>
    </row>
    <row r="14">
      <c r="B14" s="59" t="n">
        <v>0.04</v>
      </c>
      <c r="C14" s="60" t="n"/>
      <c r="D14" s="60" t="n"/>
      <c r="E14" s="60" t="n"/>
      <c r="F14" s="60" t="n"/>
    </row>
    <row r="16">
      <c r="A16" s="10" t="inlineStr">
        <is>
          <t>Google Sheets does not support data tables, so there the grid stays empty; the Finance OS web view fills it by recalculating the model for each pair.</t>
        </is>
      </c>
    </row>
  </sheetData>
  <mergeCells count="1"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2026-10-21T18:22:36Z</dcterms:created>
  <dcterms:modified xsi:type="dcterms:W3CDTF">2026-10-21T18:22:37Z</dcterms:modified>
</cp:coreProperties>
</file>